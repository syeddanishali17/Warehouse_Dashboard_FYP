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F82DDA5-E60B-4883-8A1E-47EFD7A64084}" xr6:coauthVersionLast="47" xr6:coauthVersionMax="47" xr10:uidLastSave="{00000000-0000-0000-0000-000000000000}"/>
  <bookViews>
    <workbookView xWindow="-120" yWindow="-120" windowWidth="20730" windowHeight="11040" activeTab="1" xr2:uid="{CF992DD5-F5F5-4528-8730-8CBACD9E4DA1}"/>
  </bookViews>
  <sheets>
    <sheet name="Model Testing (Final)" sheetId="3" r:id="rId1"/>
    <sheet name="Data Analysis (Comparison)" sheetId="4" r:id="rId2"/>
    <sheet name="Data" sheetId="1" r:id="rId3"/>
  </sheets>
  <externalReferences>
    <externalReference r:id="rId4"/>
    <externalReference r:id="rId5"/>
  </externalReferences>
  <definedNames>
    <definedName name="Araç1X" localSheetId="0">OFFSET(#REF!,,,COUNTIF(#REF!,"&lt;&gt;"))</definedName>
    <definedName name="Araç1X">OFFSET(#REF!,,,COUNTIF(#REF!,"&lt;&gt;"))</definedName>
    <definedName name="Araç1Y">OFFSET(#REF!,,,COUNTIF(#REF!,"&lt;&gt;"))</definedName>
    <definedName name="Araç2X">OFFSET(#REF!,,,COUNTIF(#REF!,"&lt;&gt;"))</definedName>
    <definedName name="Araç2Y">OFFSET(#REF!,,,COUNTIF(#REF!,"&lt;&gt;"))</definedName>
    <definedName name="Araç3X">OFFSET(#REF!,,,COUNTIF(#REF!,"&lt;&gt;"))</definedName>
    <definedName name="Araç3Y">OFFSET(#REF!,,,COUNTIF(#REF!,"&lt;&gt;"))</definedName>
    <definedName name="Araç4X">OFFSET(#REF!,,,COUNTIF(#REF!,"&lt;&gt;"))</definedName>
    <definedName name="Araç4Y">OFFSET(#REF!,,,COUNTIF(#REF!,"&lt;&gt;"))</definedName>
    <definedName name="binary" localSheetId="0">#REF!,#REF!,#REF!,#REF!,#REF!,#REF!,#REF!,#REF!,#REF!,#REF!,#REF!,#REF!,#REF!,#REF!,#REF!,#REF!,#REF!,#REF!,#REF!,#REF!,#REF!</definedName>
    <definedName name="binary">#REF!,#REF!,#REF!,#REF!,#REF!,#REF!,#REF!,#REF!,#REF!,#REF!,#REF!,#REF!,#REF!,#REF!,#REF!,#REF!,#REF!,#REF!,#REF!,#REF!,#REF!</definedName>
    <definedName name="OpenSolver_ChosenSolver" localSheetId="0" hidden="1">CBC</definedName>
    <definedName name="OpenSolver_DualsNewSheet" localSheetId="0" hidden="1">0</definedName>
    <definedName name="OpenSolver_LinearityCheck" localSheetId="0" hidden="1">1</definedName>
    <definedName name="OpenSolver_UpdateSensitivity" localSheetId="0" hidden="1">1</definedName>
    <definedName name="solver_adj" localSheetId="0" hidden="1">'Model Testing (Final)'!$I$55:$AM$85,'Model Testing (Final)'!$I$103:$AM$133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'Model Testing (Final)'!$AN$56:$AN$85</definedName>
    <definedName name="solver_lhs2" localSheetId="0" hidden="1">'Model Testing (Final)'!$AP$104:$AP$133</definedName>
    <definedName name="solver_lhs3" localSheetId="0" hidden="1">'Model Testing (Final)'!$I$151:$AM$181</definedName>
    <definedName name="solver_lhs4" localSheetId="0" hidden="1">'Model Testing (Final)'!$I$55:$AM$85</definedName>
    <definedName name="solver_lhs5" localSheetId="0" hidden="1">'Model Testing (Final)'!$J$86:$AM$86</definedName>
    <definedName name="solver_lhs6" localSheetId="0" hidden="1">'Model Testing (Final)'!$J$86:$AM$86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tri" hidden="1">1000</definedName>
    <definedName name="solver_num" localSheetId="0" hidden="1">5</definedName>
    <definedName name="solver_nwt" localSheetId="0" hidden="1">1</definedName>
    <definedName name="solver_opt" localSheetId="0" hidden="1">'Model Testing (Final)'!$BF$15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2</definedName>
    <definedName name="solver_rel3" localSheetId="0" hidden="1">1</definedName>
    <definedName name="solver_rel4" localSheetId="0" hidden="1">5</definedName>
    <definedName name="solver_rel5" localSheetId="0" hidden="1">2</definedName>
    <definedName name="solver_rel6" localSheetId="0" hidden="1">2</definedName>
    <definedName name="solver_rhs1" localSheetId="0" hidden="1">1</definedName>
    <definedName name="solver_rhs2" localSheetId="0" hidden="1">'Model Testing (Final)'!$AQ$104:$AQ$133</definedName>
    <definedName name="solver_rhs3" localSheetId="0" hidden="1">0</definedName>
    <definedName name="solver_rhs4" localSheetId="0" hidden="1">"binary"</definedName>
    <definedName name="solver_rhs5" localSheetId="0" hidden="1">1</definedName>
    <definedName name="solver_rhs6" localSheetId="0" hidden="1">1</definedName>
    <definedName name="solver_rlx" localSheetId="0" hidden="1">2</definedName>
    <definedName name="solver_rsd" localSheetId="0" hidden="1">0</definedName>
    <definedName name="solver_rsmp" hidden="1">2</definedName>
    <definedName name="solver_scl" localSheetId="0" hidden="1">1</definedName>
    <definedName name="solver_seed" hidden="1">0</definedName>
    <definedName name="solver_sho" localSheetId="0" hidden="1">1</definedName>
    <definedName name="solver_ssz" localSheetId="0" hidden="1">100</definedName>
    <definedName name="solver_tim" localSheetId="0" hidden="1">60</definedName>
    <definedName name="solver_tol" localSheetId="0" hidden="1">0.01</definedName>
    <definedName name="solver_typ" localSheetId="0" hidden="1">1</definedName>
    <definedName name="solver_val" localSheetId="0" hidden="1">20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" i="4" l="1"/>
  <c r="AA2" i="4"/>
  <c r="J12" i="1"/>
  <c r="M83" i="1"/>
  <c r="T75" i="1" s="1"/>
  <c r="T77" i="1" s="1"/>
  <c r="M82" i="1"/>
  <c r="M60" i="1"/>
  <c r="M42" i="1"/>
  <c r="M6" i="1"/>
  <c r="M7" i="1"/>
  <c r="M8" i="1"/>
  <c r="M9" i="1"/>
  <c r="M10" i="1"/>
  <c r="M11" i="1"/>
  <c r="M5" i="1"/>
  <c r="BF13" i="3"/>
  <c r="H43" i="1"/>
  <c r="AU130" i="3"/>
  <c r="AU126" i="3"/>
  <c r="AU122" i="3"/>
  <c r="AU118" i="3"/>
  <c r="AU114" i="3"/>
  <c r="AU110" i="3"/>
  <c r="AU106" i="3"/>
  <c r="M23" i="1"/>
  <c r="M24" i="1" s="1"/>
  <c r="AU125" i="3"/>
  <c r="AU121" i="3"/>
  <c r="AU109" i="3"/>
  <c r="AU131" i="3"/>
  <c r="AU127" i="3"/>
  <c r="AU123" i="3"/>
  <c r="AU119" i="3"/>
  <c r="AU115" i="3"/>
  <c r="AU111" i="3"/>
  <c r="AU107" i="3"/>
  <c r="AS104" i="3"/>
  <c r="AU105" i="3"/>
  <c r="AU108" i="3"/>
  <c r="AU112" i="3"/>
  <c r="AU113" i="3"/>
  <c r="AU116" i="3"/>
  <c r="AU117" i="3"/>
  <c r="AU120" i="3"/>
  <c r="AU124" i="3"/>
  <c r="AU128" i="3"/>
  <c r="AU129" i="3"/>
  <c r="AU132" i="3"/>
  <c r="AU133" i="3"/>
  <c r="AU104" i="3"/>
  <c r="I7" i="1"/>
  <c r="AA2" i="1"/>
  <c r="S2" i="1"/>
  <c r="T76" i="1"/>
  <c r="T54" i="1"/>
  <c r="T36" i="1"/>
  <c r="S17" i="1"/>
  <c r="AA1" i="4" l="1"/>
  <c r="AA3" i="4" s="1"/>
  <c r="M78" i="1" l="1"/>
  <c r="M79" i="1"/>
  <c r="M80" i="1"/>
  <c r="M81" i="1"/>
  <c r="M77" i="1"/>
  <c r="J87" i="1"/>
  <c r="M61" i="1"/>
  <c r="M38" i="1"/>
  <c r="M39" i="1"/>
  <c r="M40" i="1"/>
  <c r="M41" i="1"/>
  <c r="M37" i="1"/>
  <c r="C83" i="1"/>
  <c r="S260" i="3"/>
  <c r="O256" i="3"/>
  <c r="V247" i="3"/>
  <c r="N247" i="3"/>
  <c r="AK246" i="3"/>
  <c r="AC246" i="3"/>
  <c r="U246" i="3"/>
  <c r="M246" i="3"/>
  <c r="AJ245" i="3"/>
  <c r="AB245" i="3"/>
  <c r="T245" i="3"/>
  <c r="L245" i="3"/>
  <c r="AI244" i="3"/>
  <c r="AA244" i="3"/>
  <c r="S244" i="3"/>
  <c r="K244" i="3"/>
  <c r="AH243" i="3"/>
  <c r="Z243" i="3"/>
  <c r="R243" i="3"/>
  <c r="J243" i="3"/>
  <c r="AG242" i="3"/>
  <c r="Y242" i="3"/>
  <c r="Q242" i="3"/>
  <c r="AN241" i="3"/>
  <c r="AF241" i="3"/>
  <c r="X241" i="3"/>
  <c r="P241" i="3"/>
  <c r="AM240" i="3"/>
  <c r="AE240" i="3"/>
  <c r="W240" i="3"/>
  <c r="O240" i="3"/>
  <c r="AL239" i="3"/>
  <c r="AD239" i="3"/>
  <c r="V239" i="3"/>
  <c r="Q239" i="3"/>
  <c r="K239" i="3"/>
  <c r="AK238" i="3"/>
  <c r="AF238" i="3"/>
  <c r="Z238" i="3"/>
  <c r="U238" i="3"/>
  <c r="P238" i="3"/>
  <c r="J238" i="3"/>
  <c r="AJ237" i="3"/>
  <c r="AE237" i="3"/>
  <c r="Y237" i="3"/>
  <c r="T237" i="3"/>
  <c r="O237" i="3"/>
  <c r="AN236" i="3"/>
  <c r="AI236" i="3"/>
  <c r="AD236" i="3"/>
  <c r="X236" i="3"/>
  <c r="S236" i="3"/>
  <c r="N236" i="3"/>
  <c r="AM235" i="3"/>
  <c r="AH235" i="3"/>
  <c r="AC235" i="3"/>
  <c r="W235" i="3"/>
  <c r="S235" i="3"/>
  <c r="O235" i="3"/>
  <c r="K235" i="3"/>
  <c r="AL234" i="3"/>
  <c r="AH234" i="3"/>
  <c r="AD234" i="3"/>
  <c r="Z234" i="3"/>
  <c r="V234" i="3"/>
  <c r="R234" i="3"/>
  <c r="N234" i="3"/>
  <c r="J234" i="3"/>
  <c r="AK233" i="3"/>
  <c r="AK271" i="3" s="1"/>
  <c r="AG233" i="3"/>
  <c r="AG271" i="3" s="1"/>
  <c r="AC233" i="3"/>
  <c r="AC271" i="3" s="1"/>
  <c r="Y233" i="3"/>
  <c r="Y271" i="3" s="1"/>
  <c r="U233" i="3"/>
  <c r="U271" i="3" s="1"/>
  <c r="Q233" i="3"/>
  <c r="Q271" i="3" s="1"/>
  <c r="M233" i="3"/>
  <c r="M271" i="3" s="1"/>
  <c r="AN225" i="3"/>
  <c r="AN263" i="3" s="1"/>
  <c r="AM225" i="3"/>
  <c r="AM263" i="3" s="1"/>
  <c r="AL225" i="3"/>
  <c r="AL263" i="3" s="1"/>
  <c r="AK225" i="3"/>
  <c r="AK263" i="3" s="1"/>
  <c r="AJ225" i="3"/>
  <c r="AJ263" i="3" s="1"/>
  <c r="AI225" i="3"/>
  <c r="AI263" i="3" s="1"/>
  <c r="AH225" i="3"/>
  <c r="AH263" i="3" s="1"/>
  <c r="AG225" i="3"/>
  <c r="AG263" i="3" s="1"/>
  <c r="AF225" i="3"/>
  <c r="AF263" i="3" s="1"/>
  <c r="AE225" i="3"/>
  <c r="AE263" i="3" s="1"/>
  <c r="AD225" i="3"/>
  <c r="AD263" i="3" s="1"/>
  <c r="AC225" i="3"/>
  <c r="AC263" i="3" s="1"/>
  <c r="AB225" i="3"/>
  <c r="AB263" i="3" s="1"/>
  <c r="AA225" i="3"/>
  <c r="AA263" i="3" s="1"/>
  <c r="Z225" i="3"/>
  <c r="Z263" i="3" s="1"/>
  <c r="Y225" i="3"/>
  <c r="Y263" i="3" s="1"/>
  <c r="X225" i="3"/>
  <c r="X263" i="3" s="1"/>
  <c r="W225" i="3"/>
  <c r="W263" i="3" s="1"/>
  <c r="V225" i="3"/>
  <c r="V263" i="3" s="1"/>
  <c r="U225" i="3"/>
  <c r="U263" i="3" s="1"/>
  <c r="T225" i="3"/>
  <c r="T263" i="3" s="1"/>
  <c r="S225" i="3"/>
  <c r="S263" i="3" s="1"/>
  <c r="R225" i="3"/>
  <c r="R263" i="3" s="1"/>
  <c r="Q225" i="3"/>
  <c r="Q263" i="3" s="1"/>
  <c r="P225" i="3"/>
  <c r="P263" i="3" s="1"/>
  <c r="O225" i="3"/>
  <c r="O263" i="3" s="1"/>
  <c r="N225" i="3"/>
  <c r="N263" i="3" s="1"/>
  <c r="M225" i="3"/>
  <c r="M263" i="3" s="1"/>
  <c r="L225" i="3"/>
  <c r="L263" i="3" s="1"/>
  <c r="K225" i="3"/>
  <c r="K263" i="3" s="1"/>
  <c r="J225" i="3"/>
  <c r="J263" i="3" s="1"/>
  <c r="AN224" i="3"/>
  <c r="AN262" i="3" s="1"/>
  <c r="AM224" i="3"/>
  <c r="AM262" i="3" s="1"/>
  <c r="AL224" i="3"/>
  <c r="AL262" i="3" s="1"/>
  <c r="AK224" i="3"/>
  <c r="AK262" i="3" s="1"/>
  <c r="AJ224" i="3"/>
  <c r="AJ262" i="3" s="1"/>
  <c r="AI224" i="3"/>
  <c r="AI262" i="3" s="1"/>
  <c r="AH224" i="3"/>
  <c r="AH262" i="3" s="1"/>
  <c r="AG224" i="3"/>
  <c r="AG262" i="3" s="1"/>
  <c r="AF224" i="3"/>
  <c r="AF262" i="3" s="1"/>
  <c r="AE224" i="3"/>
  <c r="AE262" i="3" s="1"/>
  <c r="AD224" i="3"/>
  <c r="AD262" i="3" s="1"/>
  <c r="AC224" i="3"/>
  <c r="AC262" i="3" s="1"/>
  <c r="AB224" i="3"/>
  <c r="AB262" i="3" s="1"/>
  <c r="AA224" i="3"/>
  <c r="AA262" i="3" s="1"/>
  <c r="Z224" i="3"/>
  <c r="Z262" i="3" s="1"/>
  <c r="Y224" i="3"/>
  <c r="Y262" i="3" s="1"/>
  <c r="X224" i="3"/>
  <c r="X262" i="3" s="1"/>
  <c r="W224" i="3"/>
  <c r="W262" i="3" s="1"/>
  <c r="V224" i="3"/>
  <c r="V262" i="3" s="1"/>
  <c r="U224" i="3"/>
  <c r="U262" i="3" s="1"/>
  <c r="T224" i="3"/>
  <c r="T262" i="3" s="1"/>
  <c r="S224" i="3"/>
  <c r="S262" i="3" s="1"/>
  <c r="R224" i="3"/>
  <c r="R262" i="3" s="1"/>
  <c r="Q224" i="3"/>
  <c r="Q262" i="3" s="1"/>
  <c r="P224" i="3"/>
  <c r="P262" i="3" s="1"/>
  <c r="O224" i="3"/>
  <c r="O262" i="3" s="1"/>
  <c r="N224" i="3"/>
  <c r="N262" i="3" s="1"/>
  <c r="M224" i="3"/>
  <c r="M262" i="3" s="1"/>
  <c r="L224" i="3"/>
  <c r="L262" i="3" s="1"/>
  <c r="K224" i="3"/>
  <c r="K262" i="3" s="1"/>
  <c r="J224" i="3"/>
  <c r="J262" i="3" s="1"/>
  <c r="AN223" i="3"/>
  <c r="AN261" i="3" s="1"/>
  <c r="AM223" i="3"/>
  <c r="AM261" i="3" s="1"/>
  <c r="AL223" i="3"/>
  <c r="AL261" i="3" s="1"/>
  <c r="AK223" i="3"/>
  <c r="AK261" i="3" s="1"/>
  <c r="AJ223" i="3"/>
  <c r="AJ261" i="3" s="1"/>
  <c r="AI223" i="3"/>
  <c r="AI261" i="3" s="1"/>
  <c r="AH223" i="3"/>
  <c r="AH261" i="3" s="1"/>
  <c r="AG223" i="3"/>
  <c r="AG261" i="3" s="1"/>
  <c r="AF223" i="3"/>
  <c r="AF261" i="3" s="1"/>
  <c r="AE223" i="3"/>
  <c r="AE261" i="3" s="1"/>
  <c r="AD223" i="3"/>
  <c r="AD261" i="3" s="1"/>
  <c r="AC223" i="3"/>
  <c r="AC261" i="3" s="1"/>
  <c r="AB223" i="3"/>
  <c r="AB261" i="3" s="1"/>
  <c r="AA223" i="3"/>
  <c r="AA261" i="3" s="1"/>
  <c r="Z223" i="3"/>
  <c r="Z261" i="3" s="1"/>
  <c r="Y223" i="3"/>
  <c r="Y261" i="3" s="1"/>
  <c r="X223" i="3"/>
  <c r="X261" i="3" s="1"/>
  <c r="W223" i="3"/>
  <c r="W261" i="3" s="1"/>
  <c r="V223" i="3"/>
  <c r="V261" i="3" s="1"/>
  <c r="U223" i="3"/>
  <c r="U261" i="3" s="1"/>
  <c r="T223" i="3"/>
  <c r="T261" i="3" s="1"/>
  <c r="S223" i="3"/>
  <c r="S261" i="3" s="1"/>
  <c r="R223" i="3"/>
  <c r="R261" i="3" s="1"/>
  <c r="Q223" i="3"/>
  <c r="Q261" i="3" s="1"/>
  <c r="P223" i="3"/>
  <c r="P261" i="3" s="1"/>
  <c r="O223" i="3"/>
  <c r="O261" i="3" s="1"/>
  <c r="N223" i="3"/>
  <c r="N261" i="3" s="1"/>
  <c r="M223" i="3"/>
  <c r="M261" i="3" s="1"/>
  <c r="L223" i="3"/>
  <c r="L261" i="3" s="1"/>
  <c r="K223" i="3"/>
  <c r="K261" i="3" s="1"/>
  <c r="J223" i="3"/>
  <c r="J261" i="3" s="1"/>
  <c r="AN222" i="3"/>
  <c r="AN260" i="3" s="1"/>
  <c r="AM222" i="3"/>
  <c r="AM260" i="3" s="1"/>
  <c r="AL222" i="3"/>
  <c r="AL260" i="3" s="1"/>
  <c r="AK222" i="3"/>
  <c r="AK260" i="3" s="1"/>
  <c r="AJ222" i="3"/>
  <c r="AJ260" i="3" s="1"/>
  <c r="AI222" i="3"/>
  <c r="AI260" i="3" s="1"/>
  <c r="AH222" i="3"/>
  <c r="AH260" i="3" s="1"/>
  <c r="AG222" i="3"/>
  <c r="AG260" i="3" s="1"/>
  <c r="AF222" i="3"/>
  <c r="AF260" i="3" s="1"/>
  <c r="AE222" i="3"/>
  <c r="AE260" i="3" s="1"/>
  <c r="AD222" i="3"/>
  <c r="AD260" i="3" s="1"/>
  <c r="AC222" i="3"/>
  <c r="AC260" i="3" s="1"/>
  <c r="AB222" i="3"/>
  <c r="AB260" i="3" s="1"/>
  <c r="AA222" i="3"/>
  <c r="AA260" i="3" s="1"/>
  <c r="Z222" i="3"/>
  <c r="Z260" i="3" s="1"/>
  <c r="Y222" i="3"/>
  <c r="Y260" i="3" s="1"/>
  <c r="X222" i="3"/>
  <c r="X260" i="3" s="1"/>
  <c r="W222" i="3"/>
  <c r="W260" i="3" s="1"/>
  <c r="V222" i="3"/>
  <c r="V260" i="3" s="1"/>
  <c r="U222" i="3"/>
  <c r="U260" i="3" s="1"/>
  <c r="T222" i="3"/>
  <c r="T260" i="3" s="1"/>
  <c r="S222" i="3"/>
  <c r="R222" i="3"/>
  <c r="R260" i="3" s="1"/>
  <c r="Q222" i="3"/>
  <c r="Q260" i="3" s="1"/>
  <c r="P222" i="3"/>
  <c r="P260" i="3" s="1"/>
  <c r="O222" i="3"/>
  <c r="O260" i="3" s="1"/>
  <c r="N222" i="3"/>
  <c r="N260" i="3" s="1"/>
  <c r="M222" i="3"/>
  <c r="M260" i="3" s="1"/>
  <c r="L222" i="3"/>
  <c r="L260" i="3" s="1"/>
  <c r="K222" i="3"/>
  <c r="K260" i="3" s="1"/>
  <c r="J222" i="3"/>
  <c r="J260" i="3" s="1"/>
  <c r="AN221" i="3"/>
  <c r="AN259" i="3" s="1"/>
  <c r="AM221" i="3"/>
  <c r="AM259" i="3" s="1"/>
  <c r="AL221" i="3"/>
  <c r="AL259" i="3" s="1"/>
  <c r="AK221" i="3"/>
  <c r="AK259" i="3" s="1"/>
  <c r="AJ221" i="3"/>
  <c r="AJ259" i="3" s="1"/>
  <c r="AI221" i="3"/>
  <c r="AI259" i="3" s="1"/>
  <c r="AH221" i="3"/>
  <c r="AH259" i="3" s="1"/>
  <c r="AG221" i="3"/>
  <c r="AG259" i="3" s="1"/>
  <c r="AF221" i="3"/>
  <c r="AF259" i="3" s="1"/>
  <c r="AE221" i="3"/>
  <c r="AE259" i="3" s="1"/>
  <c r="AD221" i="3"/>
  <c r="AD259" i="3" s="1"/>
  <c r="AC221" i="3"/>
  <c r="AC259" i="3" s="1"/>
  <c r="AB221" i="3"/>
  <c r="AB259" i="3" s="1"/>
  <c r="AA221" i="3"/>
  <c r="AA259" i="3" s="1"/>
  <c r="Z221" i="3"/>
  <c r="Z259" i="3" s="1"/>
  <c r="Y221" i="3"/>
  <c r="Y259" i="3" s="1"/>
  <c r="X221" i="3"/>
  <c r="X259" i="3" s="1"/>
  <c r="W221" i="3"/>
  <c r="W259" i="3" s="1"/>
  <c r="V221" i="3"/>
  <c r="V259" i="3" s="1"/>
  <c r="U221" i="3"/>
  <c r="U259" i="3" s="1"/>
  <c r="T221" i="3"/>
  <c r="T259" i="3" s="1"/>
  <c r="S221" i="3"/>
  <c r="S259" i="3" s="1"/>
  <c r="R221" i="3"/>
  <c r="R259" i="3" s="1"/>
  <c r="Q221" i="3"/>
  <c r="Q259" i="3" s="1"/>
  <c r="P221" i="3"/>
  <c r="P259" i="3" s="1"/>
  <c r="O221" i="3"/>
  <c r="O259" i="3" s="1"/>
  <c r="N221" i="3"/>
  <c r="N259" i="3" s="1"/>
  <c r="M221" i="3"/>
  <c r="M259" i="3" s="1"/>
  <c r="L221" i="3"/>
  <c r="L259" i="3" s="1"/>
  <c r="K221" i="3"/>
  <c r="K259" i="3" s="1"/>
  <c r="J221" i="3"/>
  <c r="J259" i="3" s="1"/>
  <c r="AN220" i="3"/>
  <c r="AN258" i="3" s="1"/>
  <c r="AM220" i="3"/>
  <c r="AM258" i="3" s="1"/>
  <c r="AL220" i="3"/>
  <c r="AL258" i="3" s="1"/>
  <c r="AK220" i="3"/>
  <c r="AK258" i="3" s="1"/>
  <c r="AJ220" i="3"/>
  <c r="AJ258" i="3" s="1"/>
  <c r="AI220" i="3"/>
  <c r="AI258" i="3" s="1"/>
  <c r="AH220" i="3"/>
  <c r="AH258" i="3" s="1"/>
  <c r="AG220" i="3"/>
  <c r="AG258" i="3" s="1"/>
  <c r="AF220" i="3"/>
  <c r="AF258" i="3" s="1"/>
  <c r="AE220" i="3"/>
  <c r="AE258" i="3" s="1"/>
  <c r="AD220" i="3"/>
  <c r="AD258" i="3" s="1"/>
  <c r="AC220" i="3"/>
  <c r="AC258" i="3" s="1"/>
  <c r="AB220" i="3"/>
  <c r="AB258" i="3" s="1"/>
  <c r="AA220" i="3"/>
  <c r="AA258" i="3" s="1"/>
  <c r="Z220" i="3"/>
  <c r="Z258" i="3" s="1"/>
  <c r="Y220" i="3"/>
  <c r="Y258" i="3" s="1"/>
  <c r="X220" i="3"/>
  <c r="X258" i="3" s="1"/>
  <c r="W220" i="3"/>
  <c r="W258" i="3" s="1"/>
  <c r="V220" i="3"/>
  <c r="V258" i="3" s="1"/>
  <c r="U220" i="3"/>
  <c r="U258" i="3" s="1"/>
  <c r="T220" i="3"/>
  <c r="T258" i="3" s="1"/>
  <c r="S220" i="3"/>
  <c r="S258" i="3" s="1"/>
  <c r="R220" i="3"/>
  <c r="R258" i="3" s="1"/>
  <c r="Q220" i="3"/>
  <c r="Q258" i="3" s="1"/>
  <c r="P220" i="3"/>
  <c r="P258" i="3" s="1"/>
  <c r="O220" i="3"/>
  <c r="O258" i="3" s="1"/>
  <c r="N220" i="3"/>
  <c r="N258" i="3" s="1"/>
  <c r="M220" i="3"/>
  <c r="M258" i="3" s="1"/>
  <c r="L220" i="3"/>
  <c r="L258" i="3" s="1"/>
  <c r="K220" i="3"/>
  <c r="K258" i="3" s="1"/>
  <c r="J220" i="3"/>
  <c r="J258" i="3" s="1"/>
  <c r="AN219" i="3"/>
  <c r="AN257" i="3" s="1"/>
  <c r="AM219" i="3"/>
  <c r="AM257" i="3" s="1"/>
  <c r="AL219" i="3"/>
  <c r="AL257" i="3" s="1"/>
  <c r="AK219" i="3"/>
  <c r="AK257" i="3" s="1"/>
  <c r="AJ219" i="3"/>
  <c r="AJ257" i="3" s="1"/>
  <c r="AI219" i="3"/>
  <c r="AI257" i="3" s="1"/>
  <c r="AH219" i="3"/>
  <c r="AH257" i="3" s="1"/>
  <c r="AG219" i="3"/>
  <c r="AG257" i="3" s="1"/>
  <c r="AF219" i="3"/>
  <c r="AF257" i="3" s="1"/>
  <c r="AE219" i="3"/>
  <c r="AE257" i="3" s="1"/>
  <c r="AD219" i="3"/>
  <c r="AD257" i="3" s="1"/>
  <c r="AC219" i="3"/>
  <c r="AC257" i="3" s="1"/>
  <c r="AB219" i="3"/>
  <c r="AB257" i="3" s="1"/>
  <c r="AA219" i="3"/>
  <c r="AA257" i="3" s="1"/>
  <c r="Z219" i="3"/>
  <c r="Z257" i="3" s="1"/>
  <c r="Y219" i="3"/>
  <c r="Y257" i="3" s="1"/>
  <c r="X219" i="3"/>
  <c r="X257" i="3" s="1"/>
  <c r="W219" i="3"/>
  <c r="W257" i="3" s="1"/>
  <c r="V219" i="3"/>
  <c r="V257" i="3" s="1"/>
  <c r="U219" i="3"/>
  <c r="U257" i="3" s="1"/>
  <c r="T219" i="3"/>
  <c r="T257" i="3" s="1"/>
  <c r="S219" i="3"/>
  <c r="S257" i="3" s="1"/>
  <c r="R219" i="3"/>
  <c r="R257" i="3" s="1"/>
  <c r="Q219" i="3"/>
  <c r="Q257" i="3" s="1"/>
  <c r="P219" i="3"/>
  <c r="P257" i="3" s="1"/>
  <c r="O219" i="3"/>
  <c r="O257" i="3" s="1"/>
  <c r="N219" i="3"/>
  <c r="N257" i="3" s="1"/>
  <c r="M219" i="3"/>
  <c r="M257" i="3" s="1"/>
  <c r="L219" i="3"/>
  <c r="L257" i="3" s="1"/>
  <c r="K219" i="3"/>
  <c r="K257" i="3" s="1"/>
  <c r="J219" i="3"/>
  <c r="J257" i="3" s="1"/>
  <c r="AN218" i="3"/>
  <c r="AN256" i="3" s="1"/>
  <c r="AM218" i="3"/>
  <c r="AM256" i="3" s="1"/>
  <c r="AL218" i="3"/>
  <c r="AL256" i="3" s="1"/>
  <c r="AK218" i="3"/>
  <c r="AK256" i="3" s="1"/>
  <c r="AJ218" i="3"/>
  <c r="AJ256" i="3" s="1"/>
  <c r="AI218" i="3"/>
  <c r="AI256" i="3" s="1"/>
  <c r="AH218" i="3"/>
  <c r="AH256" i="3" s="1"/>
  <c r="AG218" i="3"/>
  <c r="AG256" i="3" s="1"/>
  <c r="AF218" i="3"/>
  <c r="AF256" i="3" s="1"/>
  <c r="AE218" i="3"/>
  <c r="AE256" i="3" s="1"/>
  <c r="AD218" i="3"/>
  <c r="AD256" i="3" s="1"/>
  <c r="AC218" i="3"/>
  <c r="AC256" i="3" s="1"/>
  <c r="AB218" i="3"/>
  <c r="AB256" i="3" s="1"/>
  <c r="AA218" i="3"/>
  <c r="AA256" i="3" s="1"/>
  <c r="Z218" i="3"/>
  <c r="Z256" i="3" s="1"/>
  <c r="Y218" i="3"/>
  <c r="Y256" i="3" s="1"/>
  <c r="X218" i="3"/>
  <c r="X256" i="3" s="1"/>
  <c r="W218" i="3"/>
  <c r="W256" i="3" s="1"/>
  <c r="V218" i="3"/>
  <c r="V256" i="3" s="1"/>
  <c r="U218" i="3"/>
  <c r="U256" i="3" s="1"/>
  <c r="T218" i="3"/>
  <c r="T256" i="3" s="1"/>
  <c r="S218" i="3"/>
  <c r="S256" i="3" s="1"/>
  <c r="R218" i="3"/>
  <c r="R256" i="3" s="1"/>
  <c r="Q218" i="3"/>
  <c r="Q256" i="3" s="1"/>
  <c r="P218" i="3"/>
  <c r="P256" i="3" s="1"/>
  <c r="O218" i="3"/>
  <c r="N218" i="3"/>
  <c r="N256" i="3" s="1"/>
  <c r="M218" i="3"/>
  <c r="M256" i="3" s="1"/>
  <c r="L218" i="3"/>
  <c r="L256" i="3" s="1"/>
  <c r="K218" i="3"/>
  <c r="K256" i="3" s="1"/>
  <c r="J218" i="3"/>
  <c r="J256" i="3" s="1"/>
  <c r="AN217" i="3"/>
  <c r="AN255" i="3" s="1"/>
  <c r="AM217" i="3"/>
  <c r="AM255" i="3" s="1"/>
  <c r="AL217" i="3"/>
  <c r="AL255" i="3" s="1"/>
  <c r="AK217" i="3"/>
  <c r="AK255" i="3" s="1"/>
  <c r="AJ217" i="3"/>
  <c r="AJ255" i="3" s="1"/>
  <c r="AI217" i="3"/>
  <c r="AI255" i="3" s="1"/>
  <c r="AH217" i="3"/>
  <c r="AH255" i="3" s="1"/>
  <c r="AG217" i="3"/>
  <c r="AG255" i="3" s="1"/>
  <c r="AF217" i="3"/>
  <c r="AF255" i="3" s="1"/>
  <c r="AE217" i="3"/>
  <c r="AE255" i="3" s="1"/>
  <c r="AD217" i="3"/>
  <c r="AD255" i="3" s="1"/>
  <c r="AC217" i="3"/>
  <c r="AC255" i="3" s="1"/>
  <c r="AB217" i="3"/>
  <c r="AB255" i="3" s="1"/>
  <c r="AA217" i="3"/>
  <c r="AA255" i="3" s="1"/>
  <c r="Z217" i="3"/>
  <c r="Z255" i="3" s="1"/>
  <c r="Y217" i="3"/>
  <c r="Y255" i="3" s="1"/>
  <c r="X217" i="3"/>
  <c r="X255" i="3" s="1"/>
  <c r="W217" i="3"/>
  <c r="W255" i="3" s="1"/>
  <c r="V217" i="3"/>
  <c r="V255" i="3" s="1"/>
  <c r="U217" i="3"/>
  <c r="U255" i="3" s="1"/>
  <c r="T217" i="3"/>
  <c r="T255" i="3" s="1"/>
  <c r="S217" i="3"/>
  <c r="S255" i="3" s="1"/>
  <c r="R217" i="3"/>
  <c r="R255" i="3" s="1"/>
  <c r="Q217" i="3"/>
  <c r="Q255" i="3" s="1"/>
  <c r="P217" i="3"/>
  <c r="P255" i="3" s="1"/>
  <c r="O217" i="3"/>
  <c r="O255" i="3" s="1"/>
  <c r="N217" i="3"/>
  <c r="N255" i="3" s="1"/>
  <c r="M217" i="3"/>
  <c r="M255" i="3" s="1"/>
  <c r="L217" i="3"/>
  <c r="L255" i="3" s="1"/>
  <c r="K217" i="3"/>
  <c r="K255" i="3" s="1"/>
  <c r="J217" i="3"/>
  <c r="J255" i="3" s="1"/>
  <c r="AN216" i="3"/>
  <c r="AN254" i="3" s="1"/>
  <c r="AM216" i="3"/>
  <c r="AM254" i="3" s="1"/>
  <c r="AL216" i="3"/>
  <c r="AL254" i="3" s="1"/>
  <c r="AK216" i="3"/>
  <c r="AK254" i="3" s="1"/>
  <c r="AJ216" i="3"/>
  <c r="AJ254" i="3" s="1"/>
  <c r="AI216" i="3"/>
  <c r="AI254" i="3" s="1"/>
  <c r="AH216" i="3"/>
  <c r="AH254" i="3" s="1"/>
  <c r="AG216" i="3"/>
  <c r="AG254" i="3" s="1"/>
  <c r="AF216" i="3"/>
  <c r="AF254" i="3" s="1"/>
  <c r="AE216" i="3"/>
  <c r="AE254" i="3" s="1"/>
  <c r="AD216" i="3"/>
  <c r="AD254" i="3" s="1"/>
  <c r="AC216" i="3"/>
  <c r="AC254" i="3" s="1"/>
  <c r="AB216" i="3"/>
  <c r="AB254" i="3" s="1"/>
  <c r="AA216" i="3"/>
  <c r="AA254" i="3" s="1"/>
  <c r="Z216" i="3"/>
  <c r="Z254" i="3" s="1"/>
  <c r="Y216" i="3"/>
  <c r="Y254" i="3" s="1"/>
  <c r="X216" i="3"/>
  <c r="X254" i="3" s="1"/>
  <c r="W216" i="3"/>
  <c r="W254" i="3" s="1"/>
  <c r="V216" i="3"/>
  <c r="V254" i="3" s="1"/>
  <c r="U216" i="3"/>
  <c r="U254" i="3" s="1"/>
  <c r="T216" i="3"/>
  <c r="T254" i="3" s="1"/>
  <c r="S216" i="3"/>
  <c r="S254" i="3" s="1"/>
  <c r="R216" i="3"/>
  <c r="R254" i="3" s="1"/>
  <c r="Q216" i="3"/>
  <c r="Q254" i="3" s="1"/>
  <c r="P216" i="3"/>
  <c r="P254" i="3" s="1"/>
  <c r="O216" i="3"/>
  <c r="O254" i="3" s="1"/>
  <c r="N216" i="3"/>
  <c r="N254" i="3" s="1"/>
  <c r="M216" i="3"/>
  <c r="M254" i="3" s="1"/>
  <c r="L216" i="3"/>
  <c r="L254" i="3" s="1"/>
  <c r="K216" i="3"/>
  <c r="K254" i="3" s="1"/>
  <c r="J216" i="3"/>
  <c r="J254" i="3" s="1"/>
  <c r="AN215" i="3"/>
  <c r="AN253" i="3" s="1"/>
  <c r="AM215" i="3"/>
  <c r="AM253" i="3" s="1"/>
  <c r="AL215" i="3"/>
  <c r="AL253" i="3" s="1"/>
  <c r="AK215" i="3"/>
  <c r="AK253" i="3" s="1"/>
  <c r="AJ215" i="3"/>
  <c r="AJ253" i="3" s="1"/>
  <c r="AI215" i="3"/>
  <c r="AI253" i="3" s="1"/>
  <c r="AH215" i="3"/>
  <c r="AH253" i="3" s="1"/>
  <c r="AG215" i="3"/>
  <c r="AG253" i="3" s="1"/>
  <c r="AF215" i="3"/>
  <c r="AF253" i="3" s="1"/>
  <c r="AE215" i="3"/>
  <c r="AE253" i="3" s="1"/>
  <c r="AD215" i="3"/>
  <c r="AD253" i="3" s="1"/>
  <c r="AC215" i="3"/>
  <c r="AC253" i="3" s="1"/>
  <c r="AB215" i="3"/>
  <c r="AB253" i="3" s="1"/>
  <c r="AA215" i="3"/>
  <c r="AA253" i="3" s="1"/>
  <c r="Z215" i="3"/>
  <c r="Z253" i="3" s="1"/>
  <c r="Y215" i="3"/>
  <c r="Y253" i="3" s="1"/>
  <c r="X215" i="3"/>
  <c r="X253" i="3" s="1"/>
  <c r="W215" i="3"/>
  <c r="W253" i="3" s="1"/>
  <c r="V215" i="3"/>
  <c r="V253" i="3" s="1"/>
  <c r="U215" i="3"/>
  <c r="U253" i="3" s="1"/>
  <c r="T215" i="3"/>
  <c r="T253" i="3" s="1"/>
  <c r="S215" i="3"/>
  <c r="S253" i="3" s="1"/>
  <c r="R215" i="3"/>
  <c r="R253" i="3" s="1"/>
  <c r="Q215" i="3"/>
  <c r="Q253" i="3" s="1"/>
  <c r="P215" i="3"/>
  <c r="P253" i="3" s="1"/>
  <c r="O215" i="3"/>
  <c r="O253" i="3" s="1"/>
  <c r="N215" i="3"/>
  <c r="N253" i="3" s="1"/>
  <c r="M215" i="3"/>
  <c r="M253" i="3" s="1"/>
  <c r="L215" i="3"/>
  <c r="L253" i="3" s="1"/>
  <c r="K215" i="3"/>
  <c r="K253" i="3" s="1"/>
  <c r="J215" i="3"/>
  <c r="J253" i="3" s="1"/>
  <c r="AN214" i="3"/>
  <c r="AN252" i="3" s="1"/>
  <c r="AM214" i="3"/>
  <c r="AM252" i="3" s="1"/>
  <c r="AL214" i="3"/>
  <c r="AL252" i="3" s="1"/>
  <c r="AK214" i="3"/>
  <c r="AK252" i="3" s="1"/>
  <c r="AJ214" i="3"/>
  <c r="AJ252" i="3" s="1"/>
  <c r="AI214" i="3"/>
  <c r="AI252" i="3" s="1"/>
  <c r="AH214" i="3"/>
  <c r="AH252" i="3" s="1"/>
  <c r="AG214" i="3"/>
  <c r="AG252" i="3" s="1"/>
  <c r="AF214" i="3"/>
  <c r="AF252" i="3" s="1"/>
  <c r="AE214" i="3"/>
  <c r="AE252" i="3" s="1"/>
  <c r="AD214" i="3"/>
  <c r="AD252" i="3" s="1"/>
  <c r="AC214" i="3"/>
  <c r="AC252" i="3" s="1"/>
  <c r="AB214" i="3"/>
  <c r="AB252" i="3" s="1"/>
  <c r="AA214" i="3"/>
  <c r="AA252" i="3" s="1"/>
  <c r="Z214" i="3"/>
  <c r="Z252" i="3" s="1"/>
  <c r="Y214" i="3"/>
  <c r="Y252" i="3" s="1"/>
  <c r="X214" i="3"/>
  <c r="X252" i="3" s="1"/>
  <c r="W214" i="3"/>
  <c r="W252" i="3" s="1"/>
  <c r="V214" i="3"/>
  <c r="V252" i="3" s="1"/>
  <c r="U214" i="3"/>
  <c r="U252" i="3" s="1"/>
  <c r="T214" i="3"/>
  <c r="T252" i="3" s="1"/>
  <c r="S214" i="3"/>
  <c r="S252" i="3" s="1"/>
  <c r="R214" i="3"/>
  <c r="R252" i="3" s="1"/>
  <c r="Q214" i="3"/>
  <c r="Q252" i="3" s="1"/>
  <c r="P214" i="3"/>
  <c r="P252" i="3" s="1"/>
  <c r="O214" i="3"/>
  <c r="O252" i="3" s="1"/>
  <c r="N214" i="3"/>
  <c r="N252" i="3" s="1"/>
  <c r="M214" i="3"/>
  <c r="M252" i="3" s="1"/>
  <c r="L214" i="3"/>
  <c r="L252" i="3" s="1"/>
  <c r="K214" i="3"/>
  <c r="K252" i="3" s="1"/>
  <c r="J214" i="3"/>
  <c r="J252" i="3" s="1"/>
  <c r="AN213" i="3"/>
  <c r="AN251" i="3" s="1"/>
  <c r="AM213" i="3"/>
  <c r="AM251" i="3" s="1"/>
  <c r="AL213" i="3"/>
  <c r="AL251" i="3" s="1"/>
  <c r="AK213" i="3"/>
  <c r="AK251" i="3" s="1"/>
  <c r="AJ213" i="3"/>
  <c r="AJ251" i="3" s="1"/>
  <c r="AI213" i="3"/>
  <c r="AI251" i="3" s="1"/>
  <c r="AH213" i="3"/>
  <c r="AH251" i="3" s="1"/>
  <c r="AG213" i="3"/>
  <c r="AG251" i="3" s="1"/>
  <c r="AF213" i="3"/>
  <c r="AF251" i="3" s="1"/>
  <c r="AE213" i="3"/>
  <c r="AE251" i="3" s="1"/>
  <c r="AD213" i="3"/>
  <c r="AD251" i="3" s="1"/>
  <c r="AC213" i="3"/>
  <c r="AC251" i="3" s="1"/>
  <c r="AB213" i="3"/>
  <c r="AB251" i="3" s="1"/>
  <c r="AA213" i="3"/>
  <c r="AA251" i="3" s="1"/>
  <c r="Z213" i="3"/>
  <c r="Z251" i="3" s="1"/>
  <c r="Y213" i="3"/>
  <c r="Y251" i="3" s="1"/>
  <c r="X213" i="3"/>
  <c r="X251" i="3" s="1"/>
  <c r="W213" i="3"/>
  <c r="W251" i="3" s="1"/>
  <c r="V213" i="3"/>
  <c r="V251" i="3" s="1"/>
  <c r="U213" i="3"/>
  <c r="U251" i="3" s="1"/>
  <c r="T213" i="3"/>
  <c r="T251" i="3" s="1"/>
  <c r="S213" i="3"/>
  <c r="S251" i="3" s="1"/>
  <c r="R213" i="3"/>
  <c r="R251" i="3" s="1"/>
  <c r="Q213" i="3"/>
  <c r="Q251" i="3" s="1"/>
  <c r="P213" i="3"/>
  <c r="P251" i="3" s="1"/>
  <c r="O213" i="3"/>
  <c r="O251" i="3" s="1"/>
  <c r="N213" i="3"/>
  <c r="N251" i="3" s="1"/>
  <c r="M213" i="3"/>
  <c r="M251" i="3" s="1"/>
  <c r="L213" i="3"/>
  <c r="L251" i="3" s="1"/>
  <c r="K213" i="3"/>
  <c r="K251" i="3" s="1"/>
  <c r="J213" i="3"/>
  <c r="J251" i="3" s="1"/>
  <c r="AN212" i="3"/>
  <c r="AN250" i="3" s="1"/>
  <c r="AM212" i="3"/>
  <c r="AM250" i="3" s="1"/>
  <c r="AL212" i="3"/>
  <c r="AL250" i="3" s="1"/>
  <c r="AK212" i="3"/>
  <c r="AK250" i="3" s="1"/>
  <c r="AJ212" i="3"/>
  <c r="AJ250" i="3" s="1"/>
  <c r="AI212" i="3"/>
  <c r="AI250" i="3" s="1"/>
  <c r="AH212" i="3"/>
  <c r="AH250" i="3" s="1"/>
  <c r="AG212" i="3"/>
  <c r="AG250" i="3" s="1"/>
  <c r="AF212" i="3"/>
  <c r="AF250" i="3" s="1"/>
  <c r="AE212" i="3"/>
  <c r="AE250" i="3" s="1"/>
  <c r="AD212" i="3"/>
  <c r="AD250" i="3" s="1"/>
  <c r="AC212" i="3"/>
  <c r="AC250" i="3" s="1"/>
  <c r="AB212" i="3"/>
  <c r="AB250" i="3" s="1"/>
  <c r="AA212" i="3"/>
  <c r="AA250" i="3" s="1"/>
  <c r="Z212" i="3"/>
  <c r="Z250" i="3" s="1"/>
  <c r="Y212" i="3"/>
  <c r="Y250" i="3" s="1"/>
  <c r="X212" i="3"/>
  <c r="X250" i="3" s="1"/>
  <c r="W212" i="3"/>
  <c r="W250" i="3" s="1"/>
  <c r="V212" i="3"/>
  <c r="V250" i="3" s="1"/>
  <c r="U212" i="3"/>
  <c r="U250" i="3" s="1"/>
  <c r="T212" i="3"/>
  <c r="T250" i="3" s="1"/>
  <c r="S212" i="3"/>
  <c r="S250" i="3" s="1"/>
  <c r="R212" i="3"/>
  <c r="R250" i="3" s="1"/>
  <c r="Q212" i="3"/>
  <c r="Q250" i="3" s="1"/>
  <c r="P212" i="3"/>
  <c r="P250" i="3" s="1"/>
  <c r="O212" i="3"/>
  <c r="O250" i="3" s="1"/>
  <c r="N212" i="3"/>
  <c r="N250" i="3" s="1"/>
  <c r="M212" i="3"/>
  <c r="M250" i="3" s="1"/>
  <c r="L212" i="3"/>
  <c r="L250" i="3" s="1"/>
  <c r="K212" i="3"/>
  <c r="K250" i="3" s="1"/>
  <c r="J212" i="3"/>
  <c r="J250" i="3" s="1"/>
  <c r="AN211" i="3"/>
  <c r="AN249" i="3" s="1"/>
  <c r="AM211" i="3"/>
  <c r="AM249" i="3" s="1"/>
  <c r="AL211" i="3"/>
  <c r="AL249" i="3" s="1"/>
  <c r="AK211" i="3"/>
  <c r="AK249" i="3" s="1"/>
  <c r="AJ211" i="3"/>
  <c r="AJ249" i="3" s="1"/>
  <c r="AI211" i="3"/>
  <c r="AI249" i="3" s="1"/>
  <c r="AH211" i="3"/>
  <c r="AH249" i="3" s="1"/>
  <c r="AG211" i="3"/>
  <c r="AG249" i="3" s="1"/>
  <c r="AF211" i="3"/>
  <c r="AF249" i="3" s="1"/>
  <c r="AE211" i="3"/>
  <c r="AE249" i="3" s="1"/>
  <c r="AD211" i="3"/>
  <c r="AD249" i="3" s="1"/>
  <c r="AC211" i="3"/>
  <c r="AC249" i="3" s="1"/>
  <c r="AB211" i="3"/>
  <c r="AB249" i="3" s="1"/>
  <c r="AA211" i="3"/>
  <c r="AA249" i="3" s="1"/>
  <c r="Z211" i="3"/>
  <c r="Z249" i="3" s="1"/>
  <c r="Y211" i="3"/>
  <c r="Y249" i="3" s="1"/>
  <c r="X211" i="3"/>
  <c r="X249" i="3" s="1"/>
  <c r="W211" i="3"/>
  <c r="W249" i="3" s="1"/>
  <c r="V211" i="3"/>
  <c r="V249" i="3" s="1"/>
  <c r="U211" i="3"/>
  <c r="U249" i="3" s="1"/>
  <c r="T211" i="3"/>
  <c r="T249" i="3" s="1"/>
  <c r="S211" i="3"/>
  <c r="S249" i="3" s="1"/>
  <c r="R211" i="3"/>
  <c r="R249" i="3" s="1"/>
  <c r="Q211" i="3"/>
  <c r="Q249" i="3" s="1"/>
  <c r="P211" i="3"/>
  <c r="P249" i="3" s="1"/>
  <c r="O211" i="3"/>
  <c r="O249" i="3" s="1"/>
  <c r="N211" i="3"/>
  <c r="N249" i="3" s="1"/>
  <c r="M211" i="3"/>
  <c r="M249" i="3" s="1"/>
  <c r="L211" i="3"/>
  <c r="L249" i="3" s="1"/>
  <c r="K211" i="3"/>
  <c r="K249" i="3" s="1"/>
  <c r="J211" i="3"/>
  <c r="J249" i="3" s="1"/>
  <c r="AN210" i="3"/>
  <c r="AN248" i="3" s="1"/>
  <c r="AM210" i="3"/>
  <c r="AM248" i="3" s="1"/>
  <c r="AL210" i="3"/>
  <c r="AL248" i="3" s="1"/>
  <c r="AK210" i="3"/>
  <c r="AK248" i="3" s="1"/>
  <c r="AJ210" i="3"/>
  <c r="AJ248" i="3" s="1"/>
  <c r="AI210" i="3"/>
  <c r="AI248" i="3" s="1"/>
  <c r="AH210" i="3"/>
  <c r="AH248" i="3" s="1"/>
  <c r="AG210" i="3"/>
  <c r="AG248" i="3" s="1"/>
  <c r="AF210" i="3"/>
  <c r="AF248" i="3" s="1"/>
  <c r="AE210" i="3"/>
  <c r="AE248" i="3" s="1"/>
  <c r="AD210" i="3"/>
  <c r="AD248" i="3" s="1"/>
  <c r="AC210" i="3"/>
  <c r="AC248" i="3" s="1"/>
  <c r="AB210" i="3"/>
  <c r="AB248" i="3" s="1"/>
  <c r="AA210" i="3"/>
  <c r="AA248" i="3" s="1"/>
  <c r="Z210" i="3"/>
  <c r="Z248" i="3" s="1"/>
  <c r="Y210" i="3"/>
  <c r="Y248" i="3" s="1"/>
  <c r="X210" i="3"/>
  <c r="X248" i="3" s="1"/>
  <c r="W210" i="3"/>
  <c r="W248" i="3" s="1"/>
  <c r="V210" i="3"/>
  <c r="V248" i="3" s="1"/>
  <c r="U210" i="3"/>
  <c r="U248" i="3" s="1"/>
  <c r="T210" i="3"/>
  <c r="T248" i="3" s="1"/>
  <c r="S210" i="3"/>
  <c r="S248" i="3" s="1"/>
  <c r="R210" i="3"/>
  <c r="R248" i="3" s="1"/>
  <c r="Q210" i="3"/>
  <c r="Q248" i="3" s="1"/>
  <c r="P210" i="3"/>
  <c r="P248" i="3" s="1"/>
  <c r="O210" i="3"/>
  <c r="O248" i="3" s="1"/>
  <c r="N210" i="3"/>
  <c r="N248" i="3" s="1"/>
  <c r="M210" i="3"/>
  <c r="M248" i="3" s="1"/>
  <c r="L210" i="3"/>
  <c r="L248" i="3" s="1"/>
  <c r="K210" i="3"/>
  <c r="K248" i="3" s="1"/>
  <c r="J210" i="3"/>
  <c r="J248" i="3" s="1"/>
  <c r="AN209" i="3"/>
  <c r="AN247" i="3" s="1"/>
  <c r="AM209" i="3"/>
  <c r="AM247" i="3" s="1"/>
  <c r="AL209" i="3"/>
  <c r="AL247" i="3" s="1"/>
  <c r="AK209" i="3"/>
  <c r="AK247" i="3" s="1"/>
  <c r="AJ209" i="3"/>
  <c r="AJ247" i="3" s="1"/>
  <c r="AI209" i="3"/>
  <c r="AI247" i="3" s="1"/>
  <c r="AH209" i="3"/>
  <c r="AH247" i="3" s="1"/>
  <c r="AG209" i="3"/>
  <c r="AG247" i="3" s="1"/>
  <c r="AF209" i="3"/>
  <c r="AF247" i="3" s="1"/>
  <c r="AE209" i="3"/>
  <c r="AE247" i="3" s="1"/>
  <c r="AD209" i="3"/>
  <c r="AD247" i="3" s="1"/>
  <c r="AC209" i="3"/>
  <c r="AC247" i="3" s="1"/>
  <c r="AB209" i="3"/>
  <c r="AB247" i="3" s="1"/>
  <c r="AA209" i="3"/>
  <c r="AA247" i="3" s="1"/>
  <c r="Z209" i="3"/>
  <c r="Z247" i="3" s="1"/>
  <c r="Y209" i="3"/>
  <c r="Y247" i="3" s="1"/>
  <c r="X209" i="3"/>
  <c r="X247" i="3" s="1"/>
  <c r="W209" i="3"/>
  <c r="W247" i="3" s="1"/>
  <c r="V209" i="3"/>
  <c r="U209" i="3"/>
  <c r="U247" i="3" s="1"/>
  <c r="T209" i="3"/>
  <c r="T247" i="3" s="1"/>
  <c r="S209" i="3"/>
  <c r="S247" i="3" s="1"/>
  <c r="R209" i="3"/>
  <c r="R247" i="3" s="1"/>
  <c r="Q209" i="3"/>
  <c r="Q247" i="3" s="1"/>
  <c r="P209" i="3"/>
  <c r="P247" i="3" s="1"/>
  <c r="O209" i="3"/>
  <c r="O247" i="3" s="1"/>
  <c r="N209" i="3"/>
  <c r="M209" i="3"/>
  <c r="M247" i="3" s="1"/>
  <c r="L209" i="3"/>
  <c r="L247" i="3" s="1"/>
  <c r="K209" i="3"/>
  <c r="K247" i="3" s="1"/>
  <c r="J209" i="3"/>
  <c r="J247" i="3" s="1"/>
  <c r="AN208" i="3"/>
  <c r="AN246" i="3" s="1"/>
  <c r="AM208" i="3"/>
  <c r="AM246" i="3" s="1"/>
  <c r="AL208" i="3"/>
  <c r="AL246" i="3" s="1"/>
  <c r="AK208" i="3"/>
  <c r="AJ208" i="3"/>
  <c r="AJ246" i="3" s="1"/>
  <c r="AI208" i="3"/>
  <c r="AI246" i="3" s="1"/>
  <c r="AH208" i="3"/>
  <c r="AH246" i="3" s="1"/>
  <c r="AG208" i="3"/>
  <c r="AG246" i="3" s="1"/>
  <c r="AF208" i="3"/>
  <c r="AF246" i="3" s="1"/>
  <c r="AE208" i="3"/>
  <c r="AE246" i="3" s="1"/>
  <c r="AD208" i="3"/>
  <c r="AD246" i="3" s="1"/>
  <c r="AC208" i="3"/>
  <c r="AB208" i="3"/>
  <c r="AB246" i="3" s="1"/>
  <c r="AA208" i="3"/>
  <c r="AA246" i="3" s="1"/>
  <c r="Z208" i="3"/>
  <c r="Z246" i="3" s="1"/>
  <c r="Y208" i="3"/>
  <c r="Y246" i="3" s="1"/>
  <c r="X208" i="3"/>
  <c r="X246" i="3" s="1"/>
  <c r="W208" i="3"/>
  <c r="W246" i="3" s="1"/>
  <c r="V208" i="3"/>
  <c r="V246" i="3" s="1"/>
  <c r="U208" i="3"/>
  <c r="T208" i="3"/>
  <c r="T246" i="3" s="1"/>
  <c r="S208" i="3"/>
  <c r="S246" i="3" s="1"/>
  <c r="R208" i="3"/>
  <c r="R246" i="3" s="1"/>
  <c r="Q208" i="3"/>
  <c r="Q246" i="3" s="1"/>
  <c r="P208" i="3"/>
  <c r="P246" i="3" s="1"/>
  <c r="O208" i="3"/>
  <c r="O246" i="3" s="1"/>
  <c r="N208" i="3"/>
  <c r="N246" i="3" s="1"/>
  <c r="M208" i="3"/>
  <c r="L208" i="3"/>
  <c r="L246" i="3" s="1"/>
  <c r="K208" i="3"/>
  <c r="K246" i="3" s="1"/>
  <c r="J208" i="3"/>
  <c r="J246" i="3" s="1"/>
  <c r="AN207" i="3"/>
  <c r="AN245" i="3" s="1"/>
  <c r="AM207" i="3"/>
  <c r="AM245" i="3" s="1"/>
  <c r="AL207" i="3"/>
  <c r="AL245" i="3" s="1"/>
  <c r="AK207" i="3"/>
  <c r="AK245" i="3" s="1"/>
  <c r="AJ207" i="3"/>
  <c r="AI207" i="3"/>
  <c r="AI245" i="3" s="1"/>
  <c r="AH207" i="3"/>
  <c r="AH245" i="3" s="1"/>
  <c r="AG207" i="3"/>
  <c r="AG245" i="3" s="1"/>
  <c r="AF207" i="3"/>
  <c r="AF245" i="3" s="1"/>
  <c r="AE207" i="3"/>
  <c r="AE245" i="3" s="1"/>
  <c r="AD207" i="3"/>
  <c r="AD245" i="3" s="1"/>
  <c r="AC207" i="3"/>
  <c r="AC245" i="3" s="1"/>
  <c r="AB207" i="3"/>
  <c r="AA207" i="3"/>
  <c r="AA245" i="3" s="1"/>
  <c r="Z207" i="3"/>
  <c r="Z245" i="3" s="1"/>
  <c r="Y207" i="3"/>
  <c r="Y245" i="3" s="1"/>
  <c r="X207" i="3"/>
  <c r="X245" i="3" s="1"/>
  <c r="W207" i="3"/>
  <c r="W245" i="3" s="1"/>
  <c r="V207" i="3"/>
  <c r="V245" i="3" s="1"/>
  <c r="U207" i="3"/>
  <c r="U245" i="3" s="1"/>
  <c r="T207" i="3"/>
  <c r="S207" i="3"/>
  <c r="S245" i="3" s="1"/>
  <c r="R207" i="3"/>
  <c r="R245" i="3" s="1"/>
  <c r="Q207" i="3"/>
  <c r="Q245" i="3" s="1"/>
  <c r="P207" i="3"/>
  <c r="P245" i="3" s="1"/>
  <c r="O207" i="3"/>
  <c r="O245" i="3" s="1"/>
  <c r="N207" i="3"/>
  <c r="N245" i="3" s="1"/>
  <c r="M207" i="3"/>
  <c r="M245" i="3" s="1"/>
  <c r="L207" i="3"/>
  <c r="K207" i="3"/>
  <c r="K245" i="3" s="1"/>
  <c r="J207" i="3"/>
  <c r="J245" i="3" s="1"/>
  <c r="AN206" i="3"/>
  <c r="AN244" i="3" s="1"/>
  <c r="AM206" i="3"/>
  <c r="AM244" i="3" s="1"/>
  <c r="AL206" i="3"/>
  <c r="AL244" i="3" s="1"/>
  <c r="AK206" i="3"/>
  <c r="AK244" i="3" s="1"/>
  <c r="AJ206" i="3"/>
  <c r="AJ244" i="3" s="1"/>
  <c r="AI206" i="3"/>
  <c r="AH206" i="3"/>
  <c r="AH244" i="3" s="1"/>
  <c r="AG206" i="3"/>
  <c r="AG244" i="3" s="1"/>
  <c r="AF206" i="3"/>
  <c r="AF244" i="3" s="1"/>
  <c r="AE206" i="3"/>
  <c r="AE244" i="3" s="1"/>
  <c r="AD206" i="3"/>
  <c r="AD244" i="3" s="1"/>
  <c r="AC206" i="3"/>
  <c r="AC244" i="3" s="1"/>
  <c r="AB206" i="3"/>
  <c r="AB244" i="3" s="1"/>
  <c r="AA206" i="3"/>
  <c r="Z206" i="3"/>
  <c r="Z244" i="3" s="1"/>
  <c r="Y206" i="3"/>
  <c r="Y244" i="3" s="1"/>
  <c r="X206" i="3"/>
  <c r="X244" i="3" s="1"/>
  <c r="W206" i="3"/>
  <c r="W244" i="3" s="1"/>
  <c r="V206" i="3"/>
  <c r="V244" i="3" s="1"/>
  <c r="U206" i="3"/>
  <c r="U244" i="3" s="1"/>
  <c r="T206" i="3"/>
  <c r="T244" i="3" s="1"/>
  <c r="S206" i="3"/>
  <c r="R206" i="3"/>
  <c r="R244" i="3" s="1"/>
  <c r="Q206" i="3"/>
  <c r="Q244" i="3" s="1"/>
  <c r="P206" i="3"/>
  <c r="P244" i="3" s="1"/>
  <c r="O206" i="3"/>
  <c r="O244" i="3" s="1"/>
  <c r="N206" i="3"/>
  <c r="N244" i="3" s="1"/>
  <c r="M206" i="3"/>
  <c r="M244" i="3" s="1"/>
  <c r="L206" i="3"/>
  <c r="L244" i="3" s="1"/>
  <c r="K206" i="3"/>
  <c r="J206" i="3"/>
  <c r="J244" i="3" s="1"/>
  <c r="AN205" i="3"/>
  <c r="AN243" i="3" s="1"/>
  <c r="AM205" i="3"/>
  <c r="AM243" i="3" s="1"/>
  <c r="AL205" i="3"/>
  <c r="AL243" i="3" s="1"/>
  <c r="AK205" i="3"/>
  <c r="AK243" i="3" s="1"/>
  <c r="AJ205" i="3"/>
  <c r="AJ243" i="3" s="1"/>
  <c r="AI205" i="3"/>
  <c r="AI243" i="3" s="1"/>
  <c r="AH205" i="3"/>
  <c r="AG205" i="3"/>
  <c r="AG243" i="3" s="1"/>
  <c r="AF205" i="3"/>
  <c r="AF243" i="3" s="1"/>
  <c r="AE205" i="3"/>
  <c r="AE243" i="3" s="1"/>
  <c r="AD205" i="3"/>
  <c r="AD243" i="3" s="1"/>
  <c r="AC205" i="3"/>
  <c r="AC243" i="3" s="1"/>
  <c r="AB205" i="3"/>
  <c r="AB243" i="3" s="1"/>
  <c r="AA205" i="3"/>
  <c r="AA243" i="3" s="1"/>
  <c r="Z205" i="3"/>
  <c r="Y205" i="3"/>
  <c r="Y243" i="3" s="1"/>
  <c r="X205" i="3"/>
  <c r="X243" i="3" s="1"/>
  <c r="W205" i="3"/>
  <c r="W243" i="3" s="1"/>
  <c r="V205" i="3"/>
  <c r="V243" i="3" s="1"/>
  <c r="U205" i="3"/>
  <c r="U243" i="3" s="1"/>
  <c r="T205" i="3"/>
  <c r="T243" i="3" s="1"/>
  <c r="S205" i="3"/>
  <c r="S243" i="3" s="1"/>
  <c r="R205" i="3"/>
  <c r="Q205" i="3"/>
  <c r="Q243" i="3" s="1"/>
  <c r="P205" i="3"/>
  <c r="P243" i="3" s="1"/>
  <c r="O205" i="3"/>
  <c r="O243" i="3" s="1"/>
  <c r="N205" i="3"/>
  <c r="N243" i="3" s="1"/>
  <c r="M205" i="3"/>
  <c r="M243" i="3" s="1"/>
  <c r="L205" i="3"/>
  <c r="L243" i="3" s="1"/>
  <c r="K205" i="3"/>
  <c r="K243" i="3" s="1"/>
  <c r="J205" i="3"/>
  <c r="AN204" i="3"/>
  <c r="AN242" i="3" s="1"/>
  <c r="AM204" i="3"/>
  <c r="AM242" i="3" s="1"/>
  <c r="AL204" i="3"/>
  <c r="AL242" i="3" s="1"/>
  <c r="AK204" i="3"/>
  <c r="AK242" i="3" s="1"/>
  <c r="AJ204" i="3"/>
  <c r="AJ242" i="3" s="1"/>
  <c r="AI204" i="3"/>
  <c r="AI242" i="3" s="1"/>
  <c r="AH204" i="3"/>
  <c r="AH242" i="3" s="1"/>
  <c r="AG204" i="3"/>
  <c r="AF204" i="3"/>
  <c r="AF242" i="3" s="1"/>
  <c r="AE204" i="3"/>
  <c r="AE242" i="3" s="1"/>
  <c r="AD204" i="3"/>
  <c r="AD242" i="3" s="1"/>
  <c r="AC204" i="3"/>
  <c r="AC242" i="3" s="1"/>
  <c r="AB204" i="3"/>
  <c r="AB242" i="3" s="1"/>
  <c r="AA204" i="3"/>
  <c r="AA242" i="3" s="1"/>
  <c r="Z204" i="3"/>
  <c r="Z242" i="3" s="1"/>
  <c r="Y204" i="3"/>
  <c r="X204" i="3"/>
  <c r="X242" i="3" s="1"/>
  <c r="W204" i="3"/>
  <c r="W242" i="3" s="1"/>
  <c r="V204" i="3"/>
  <c r="V242" i="3" s="1"/>
  <c r="U204" i="3"/>
  <c r="U242" i="3" s="1"/>
  <c r="T204" i="3"/>
  <c r="T242" i="3" s="1"/>
  <c r="S204" i="3"/>
  <c r="S242" i="3" s="1"/>
  <c r="R204" i="3"/>
  <c r="R242" i="3" s="1"/>
  <c r="Q204" i="3"/>
  <c r="P204" i="3"/>
  <c r="P242" i="3" s="1"/>
  <c r="O204" i="3"/>
  <c r="O242" i="3" s="1"/>
  <c r="N204" i="3"/>
  <c r="N242" i="3" s="1"/>
  <c r="M204" i="3"/>
  <c r="M242" i="3" s="1"/>
  <c r="L204" i="3"/>
  <c r="L242" i="3" s="1"/>
  <c r="K204" i="3"/>
  <c r="K242" i="3" s="1"/>
  <c r="J204" i="3"/>
  <c r="J242" i="3" s="1"/>
  <c r="AN203" i="3"/>
  <c r="AM203" i="3"/>
  <c r="AM241" i="3" s="1"/>
  <c r="AL203" i="3"/>
  <c r="AL241" i="3" s="1"/>
  <c r="AK203" i="3"/>
  <c r="AK241" i="3" s="1"/>
  <c r="AJ203" i="3"/>
  <c r="AJ241" i="3" s="1"/>
  <c r="AI203" i="3"/>
  <c r="AI241" i="3" s="1"/>
  <c r="AH203" i="3"/>
  <c r="AH241" i="3" s="1"/>
  <c r="AG203" i="3"/>
  <c r="AG241" i="3" s="1"/>
  <c r="AF203" i="3"/>
  <c r="AE203" i="3"/>
  <c r="AE241" i="3" s="1"/>
  <c r="AD203" i="3"/>
  <c r="AD241" i="3" s="1"/>
  <c r="AC203" i="3"/>
  <c r="AC241" i="3" s="1"/>
  <c r="AB203" i="3"/>
  <c r="AB241" i="3" s="1"/>
  <c r="AA203" i="3"/>
  <c r="AA241" i="3" s="1"/>
  <c r="Z203" i="3"/>
  <c r="Z241" i="3" s="1"/>
  <c r="Y203" i="3"/>
  <c r="Y241" i="3" s="1"/>
  <c r="X203" i="3"/>
  <c r="W203" i="3"/>
  <c r="W241" i="3" s="1"/>
  <c r="V203" i="3"/>
  <c r="V241" i="3" s="1"/>
  <c r="U203" i="3"/>
  <c r="U241" i="3" s="1"/>
  <c r="T203" i="3"/>
  <c r="T241" i="3" s="1"/>
  <c r="S203" i="3"/>
  <c r="S241" i="3" s="1"/>
  <c r="R203" i="3"/>
  <c r="R241" i="3" s="1"/>
  <c r="Q203" i="3"/>
  <c r="Q241" i="3" s="1"/>
  <c r="P203" i="3"/>
  <c r="O203" i="3"/>
  <c r="O241" i="3" s="1"/>
  <c r="N203" i="3"/>
  <c r="N241" i="3" s="1"/>
  <c r="M203" i="3"/>
  <c r="M241" i="3" s="1"/>
  <c r="L203" i="3"/>
  <c r="L241" i="3" s="1"/>
  <c r="K203" i="3"/>
  <c r="K241" i="3" s="1"/>
  <c r="J203" i="3"/>
  <c r="J241" i="3" s="1"/>
  <c r="AN202" i="3"/>
  <c r="AN240" i="3" s="1"/>
  <c r="AM202" i="3"/>
  <c r="AL202" i="3"/>
  <c r="AL240" i="3" s="1"/>
  <c r="AK202" i="3"/>
  <c r="AK240" i="3" s="1"/>
  <c r="AJ202" i="3"/>
  <c r="AJ240" i="3" s="1"/>
  <c r="AI202" i="3"/>
  <c r="AI240" i="3" s="1"/>
  <c r="AH202" i="3"/>
  <c r="AH240" i="3" s="1"/>
  <c r="AG202" i="3"/>
  <c r="AG240" i="3" s="1"/>
  <c r="AF202" i="3"/>
  <c r="AF240" i="3" s="1"/>
  <c r="AE202" i="3"/>
  <c r="AD202" i="3"/>
  <c r="AD240" i="3" s="1"/>
  <c r="AC202" i="3"/>
  <c r="AC240" i="3" s="1"/>
  <c r="AB202" i="3"/>
  <c r="AB240" i="3" s="1"/>
  <c r="AA202" i="3"/>
  <c r="AA240" i="3" s="1"/>
  <c r="Z202" i="3"/>
  <c r="Z240" i="3" s="1"/>
  <c r="Y202" i="3"/>
  <c r="Y240" i="3" s="1"/>
  <c r="X202" i="3"/>
  <c r="X240" i="3" s="1"/>
  <c r="W202" i="3"/>
  <c r="V202" i="3"/>
  <c r="V240" i="3" s="1"/>
  <c r="U202" i="3"/>
  <c r="U240" i="3" s="1"/>
  <c r="T202" i="3"/>
  <c r="T240" i="3" s="1"/>
  <c r="S202" i="3"/>
  <c r="S240" i="3" s="1"/>
  <c r="R202" i="3"/>
  <c r="R240" i="3" s="1"/>
  <c r="Q202" i="3"/>
  <c r="Q240" i="3" s="1"/>
  <c r="P202" i="3"/>
  <c r="P240" i="3" s="1"/>
  <c r="O202" i="3"/>
  <c r="N202" i="3"/>
  <c r="N240" i="3" s="1"/>
  <c r="M202" i="3"/>
  <c r="M240" i="3" s="1"/>
  <c r="L202" i="3"/>
  <c r="L240" i="3" s="1"/>
  <c r="K202" i="3"/>
  <c r="K240" i="3" s="1"/>
  <c r="J202" i="3"/>
  <c r="J240" i="3" s="1"/>
  <c r="AN201" i="3"/>
  <c r="AN239" i="3" s="1"/>
  <c r="AM201" i="3"/>
  <c r="AM239" i="3" s="1"/>
  <c r="AL201" i="3"/>
  <c r="AK201" i="3"/>
  <c r="AK239" i="3" s="1"/>
  <c r="AJ201" i="3"/>
  <c r="AJ239" i="3" s="1"/>
  <c r="AI201" i="3"/>
  <c r="AI239" i="3" s="1"/>
  <c r="AH201" i="3"/>
  <c r="AH239" i="3" s="1"/>
  <c r="AG201" i="3"/>
  <c r="AG239" i="3" s="1"/>
  <c r="AF201" i="3"/>
  <c r="AF239" i="3" s="1"/>
  <c r="AE201" i="3"/>
  <c r="AE239" i="3" s="1"/>
  <c r="AD201" i="3"/>
  <c r="AC201" i="3"/>
  <c r="AC239" i="3" s="1"/>
  <c r="AB201" i="3"/>
  <c r="AB239" i="3" s="1"/>
  <c r="AA201" i="3"/>
  <c r="AA239" i="3" s="1"/>
  <c r="Z201" i="3"/>
  <c r="Z239" i="3" s="1"/>
  <c r="Y201" i="3"/>
  <c r="Y239" i="3" s="1"/>
  <c r="X201" i="3"/>
  <c r="X239" i="3" s="1"/>
  <c r="W201" i="3"/>
  <c r="W239" i="3" s="1"/>
  <c r="V201" i="3"/>
  <c r="U201" i="3"/>
  <c r="U239" i="3" s="1"/>
  <c r="T201" i="3"/>
  <c r="T239" i="3" s="1"/>
  <c r="S201" i="3"/>
  <c r="S239" i="3" s="1"/>
  <c r="R201" i="3"/>
  <c r="R239" i="3" s="1"/>
  <c r="Q201" i="3"/>
  <c r="P201" i="3"/>
  <c r="P239" i="3" s="1"/>
  <c r="O201" i="3"/>
  <c r="O239" i="3" s="1"/>
  <c r="N201" i="3"/>
  <c r="N239" i="3" s="1"/>
  <c r="M201" i="3"/>
  <c r="M239" i="3" s="1"/>
  <c r="L201" i="3"/>
  <c r="L239" i="3" s="1"/>
  <c r="K201" i="3"/>
  <c r="J201" i="3"/>
  <c r="J239" i="3" s="1"/>
  <c r="AN200" i="3"/>
  <c r="AN238" i="3" s="1"/>
  <c r="AM200" i="3"/>
  <c r="AM238" i="3" s="1"/>
  <c r="AL200" i="3"/>
  <c r="AL238" i="3" s="1"/>
  <c r="AK200" i="3"/>
  <c r="AJ200" i="3"/>
  <c r="AJ238" i="3" s="1"/>
  <c r="AI200" i="3"/>
  <c r="AI238" i="3" s="1"/>
  <c r="AH200" i="3"/>
  <c r="AH238" i="3" s="1"/>
  <c r="AG200" i="3"/>
  <c r="AG238" i="3" s="1"/>
  <c r="AF200" i="3"/>
  <c r="AE200" i="3"/>
  <c r="AE238" i="3" s="1"/>
  <c r="AD200" i="3"/>
  <c r="AD238" i="3" s="1"/>
  <c r="AC200" i="3"/>
  <c r="AC238" i="3" s="1"/>
  <c r="AB200" i="3"/>
  <c r="AB238" i="3" s="1"/>
  <c r="AA200" i="3"/>
  <c r="AA238" i="3" s="1"/>
  <c r="Z200" i="3"/>
  <c r="Y200" i="3"/>
  <c r="Y238" i="3" s="1"/>
  <c r="X200" i="3"/>
  <c r="X238" i="3" s="1"/>
  <c r="W200" i="3"/>
  <c r="W238" i="3" s="1"/>
  <c r="V200" i="3"/>
  <c r="V238" i="3" s="1"/>
  <c r="U200" i="3"/>
  <c r="T200" i="3"/>
  <c r="T238" i="3" s="1"/>
  <c r="S200" i="3"/>
  <c r="S238" i="3" s="1"/>
  <c r="R200" i="3"/>
  <c r="R238" i="3" s="1"/>
  <c r="Q200" i="3"/>
  <c r="Q238" i="3" s="1"/>
  <c r="P200" i="3"/>
  <c r="O200" i="3"/>
  <c r="O238" i="3" s="1"/>
  <c r="N200" i="3"/>
  <c r="N238" i="3" s="1"/>
  <c r="M200" i="3"/>
  <c r="M238" i="3" s="1"/>
  <c r="L200" i="3"/>
  <c r="L238" i="3" s="1"/>
  <c r="K200" i="3"/>
  <c r="K238" i="3" s="1"/>
  <c r="J200" i="3"/>
  <c r="AN199" i="3"/>
  <c r="AN237" i="3" s="1"/>
  <c r="AM199" i="3"/>
  <c r="AM237" i="3" s="1"/>
  <c r="AL199" i="3"/>
  <c r="AL237" i="3" s="1"/>
  <c r="AK199" i="3"/>
  <c r="AK237" i="3" s="1"/>
  <c r="AJ199" i="3"/>
  <c r="AI199" i="3"/>
  <c r="AI237" i="3" s="1"/>
  <c r="AH199" i="3"/>
  <c r="AH237" i="3" s="1"/>
  <c r="AG199" i="3"/>
  <c r="AG237" i="3" s="1"/>
  <c r="AF199" i="3"/>
  <c r="AF237" i="3" s="1"/>
  <c r="AE199" i="3"/>
  <c r="AD199" i="3"/>
  <c r="AD237" i="3" s="1"/>
  <c r="AC199" i="3"/>
  <c r="AC237" i="3" s="1"/>
  <c r="AB199" i="3"/>
  <c r="AB237" i="3" s="1"/>
  <c r="AA199" i="3"/>
  <c r="AA237" i="3" s="1"/>
  <c r="Z199" i="3"/>
  <c r="Z237" i="3" s="1"/>
  <c r="Y199" i="3"/>
  <c r="X199" i="3"/>
  <c r="X237" i="3" s="1"/>
  <c r="W199" i="3"/>
  <c r="W237" i="3" s="1"/>
  <c r="V199" i="3"/>
  <c r="V237" i="3" s="1"/>
  <c r="U199" i="3"/>
  <c r="U237" i="3" s="1"/>
  <c r="T199" i="3"/>
  <c r="S199" i="3"/>
  <c r="S237" i="3" s="1"/>
  <c r="R199" i="3"/>
  <c r="R237" i="3" s="1"/>
  <c r="Q199" i="3"/>
  <c r="Q237" i="3" s="1"/>
  <c r="P199" i="3"/>
  <c r="P237" i="3" s="1"/>
  <c r="O199" i="3"/>
  <c r="N199" i="3"/>
  <c r="N237" i="3" s="1"/>
  <c r="M199" i="3"/>
  <c r="M237" i="3" s="1"/>
  <c r="L199" i="3"/>
  <c r="L237" i="3" s="1"/>
  <c r="K199" i="3"/>
  <c r="K237" i="3" s="1"/>
  <c r="J199" i="3"/>
  <c r="J237" i="3" s="1"/>
  <c r="AN198" i="3"/>
  <c r="AM198" i="3"/>
  <c r="AM236" i="3" s="1"/>
  <c r="AL198" i="3"/>
  <c r="AL236" i="3" s="1"/>
  <c r="AK198" i="3"/>
  <c r="AK236" i="3" s="1"/>
  <c r="AJ198" i="3"/>
  <c r="AJ236" i="3" s="1"/>
  <c r="AI198" i="3"/>
  <c r="AH198" i="3"/>
  <c r="AH236" i="3" s="1"/>
  <c r="AG198" i="3"/>
  <c r="AG236" i="3" s="1"/>
  <c r="AF198" i="3"/>
  <c r="AF236" i="3" s="1"/>
  <c r="AE198" i="3"/>
  <c r="AE236" i="3" s="1"/>
  <c r="AD198" i="3"/>
  <c r="AC198" i="3"/>
  <c r="AC236" i="3" s="1"/>
  <c r="AB198" i="3"/>
  <c r="AB236" i="3" s="1"/>
  <c r="AA198" i="3"/>
  <c r="AA236" i="3" s="1"/>
  <c r="Z198" i="3"/>
  <c r="Z236" i="3" s="1"/>
  <c r="Y198" i="3"/>
  <c r="Y236" i="3" s="1"/>
  <c r="X198" i="3"/>
  <c r="W198" i="3"/>
  <c r="W236" i="3" s="1"/>
  <c r="V198" i="3"/>
  <c r="V236" i="3" s="1"/>
  <c r="U198" i="3"/>
  <c r="U236" i="3" s="1"/>
  <c r="T198" i="3"/>
  <c r="T236" i="3" s="1"/>
  <c r="S198" i="3"/>
  <c r="R198" i="3"/>
  <c r="R236" i="3" s="1"/>
  <c r="Q198" i="3"/>
  <c r="Q236" i="3" s="1"/>
  <c r="P198" i="3"/>
  <c r="P236" i="3" s="1"/>
  <c r="O198" i="3"/>
  <c r="O236" i="3" s="1"/>
  <c r="N198" i="3"/>
  <c r="M198" i="3"/>
  <c r="M236" i="3" s="1"/>
  <c r="L198" i="3"/>
  <c r="L236" i="3" s="1"/>
  <c r="K198" i="3"/>
  <c r="K236" i="3" s="1"/>
  <c r="J198" i="3"/>
  <c r="J236" i="3" s="1"/>
  <c r="AN197" i="3"/>
  <c r="AN235" i="3" s="1"/>
  <c r="AM197" i="3"/>
  <c r="AL197" i="3"/>
  <c r="AL235" i="3" s="1"/>
  <c r="AK197" i="3"/>
  <c r="AK235" i="3" s="1"/>
  <c r="AJ197" i="3"/>
  <c r="AJ235" i="3" s="1"/>
  <c r="AI197" i="3"/>
  <c r="AI235" i="3" s="1"/>
  <c r="AH197" i="3"/>
  <c r="AG197" i="3"/>
  <c r="AG235" i="3" s="1"/>
  <c r="AF197" i="3"/>
  <c r="AF235" i="3" s="1"/>
  <c r="AE197" i="3"/>
  <c r="AE235" i="3" s="1"/>
  <c r="AD197" i="3"/>
  <c r="AD235" i="3" s="1"/>
  <c r="AC197" i="3"/>
  <c r="AB197" i="3"/>
  <c r="AB235" i="3" s="1"/>
  <c r="AA197" i="3"/>
  <c r="AA235" i="3" s="1"/>
  <c r="Z197" i="3"/>
  <c r="Z235" i="3" s="1"/>
  <c r="Y197" i="3"/>
  <c r="Y235" i="3" s="1"/>
  <c r="X197" i="3"/>
  <c r="X235" i="3" s="1"/>
  <c r="W197" i="3"/>
  <c r="V197" i="3"/>
  <c r="V235" i="3" s="1"/>
  <c r="U197" i="3"/>
  <c r="U235" i="3" s="1"/>
  <c r="T197" i="3"/>
  <c r="T235" i="3" s="1"/>
  <c r="S197" i="3"/>
  <c r="R197" i="3"/>
  <c r="R235" i="3" s="1"/>
  <c r="Q197" i="3"/>
  <c r="Q235" i="3" s="1"/>
  <c r="P197" i="3"/>
  <c r="P235" i="3" s="1"/>
  <c r="O197" i="3"/>
  <c r="N197" i="3"/>
  <c r="N235" i="3" s="1"/>
  <c r="M197" i="3"/>
  <c r="M235" i="3" s="1"/>
  <c r="L197" i="3"/>
  <c r="L235" i="3" s="1"/>
  <c r="K197" i="3"/>
  <c r="J197" i="3"/>
  <c r="J235" i="3" s="1"/>
  <c r="AN196" i="3"/>
  <c r="AN234" i="3" s="1"/>
  <c r="AM196" i="3"/>
  <c r="AM234" i="3" s="1"/>
  <c r="AL196" i="3"/>
  <c r="AK196" i="3"/>
  <c r="AK234" i="3" s="1"/>
  <c r="AJ196" i="3"/>
  <c r="AJ234" i="3" s="1"/>
  <c r="AI196" i="3"/>
  <c r="AI234" i="3" s="1"/>
  <c r="AH196" i="3"/>
  <c r="AG196" i="3"/>
  <c r="AG234" i="3" s="1"/>
  <c r="AF196" i="3"/>
  <c r="AF234" i="3" s="1"/>
  <c r="AE196" i="3"/>
  <c r="AE234" i="3" s="1"/>
  <c r="AD196" i="3"/>
  <c r="AC196" i="3"/>
  <c r="AC234" i="3" s="1"/>
  <c r="AB196" i="3"/>
  <c r="AB234" i="3" s="1"/>
  <c r="AA196" i="3"/>
  <c r="AA234" i="3" s="1"/>
  <c r="Z196" i="3"/>
  <c r="Y196" i="3"/>
  <c r="Y234" i="3" s="1"/>
  <c r="X196" i="3"/>
  <c r="X234" i="3" s="1"/>
  <c r="W196" i="3"/>
  <c r="W234" i="3" s="1"/>
  <c r="V196" i="3"/>
  <c r="U196" i="3"/>
  <c r="U234" i="3" s="1"/>
  <c r="T196" i="3"/>
  <c r="T234" i="3" s="1"/>
  <c r="S196" i="3"/>
  <c r="S234" i="3" s="1"/>
  <c r="R196" i="3"/>
  <c r="Q196" i="3"/>
  <c r="Q234" i="3" s="1"/>
  <c r="P196" i="3"/>
  <c r="P234" i="3" s="1"/>
  <c r="O196" i="3"/>
  <c r="O234" i="3" s="1"/>
  <c r="N196" i="3"/>
  <c r="M196" i="3"/>
  <c r="M234" i="3" s="1"/>
  <c r="L196" i="3"/>
  <c r="L234" i="3" s="1"/>
  <c r="K196" i="3"/>
  <c r="K234" i="3" s="1"/>
  <c r="J196" i="3"/>
  <c r="AN195" i="3"/>
  <c r="AN233" i="3" s="1"/>
  <c r="AN271" i="3" s="1"/>
  <c r="AM195" i="3"/>
  <c r="AM233" i="3" s="1"/>
  <c r="AM271" i="3" s="1"/>
  <c r="AL195" i="3"/>
  <c r="AL233" i="3" s="1"/>
  <c r="AL271" i="3" s="1"/>
  <c r="AK195" i="3"/>
  <c r="AJ195" i="3"/>
  <c r="AJ233" i="3" s="1"/>
  <c r="AJ271" i="3" s="1"/>
  <c r="AI195" i="3"/>
  <c r="AI233" i="3" s="1"/>
  <c r="AI271" i="3" s="1"/>
  <c r="AH195" i="3"/>
  <c r="AH233" i="3" s="1"/>
  <c r="AH271" i="3" s="1"/>
  <c r="AG195" i="3"/>
  <c r="AF195" i="3"/>
  <c r="AF233" i="3" s="1"/>
  <c r="AF271" i="3" s="1"/>
  <c r="AE195" i="3"/>
  <c r="AE233" i="3" s="1"/>
  <c r="AE271" i="3" s="1"/>
  <c r="AD195" i="3"/>
  <c r="AD233" i="3" s="1"/>
  <c r="AD271" i="3" s="1"/>
  <c r="AC195" i="3"/>
  <c r="AB195" i="3"/>
  <c r="AB233" i="3" s="1"/>
  <c r="AB271" i="3" s="1"/>
  <c r="AA195" i="3"/>
  <c r="AA233" i="3" s="1"/>
  <c r="AA271" i="3" s="1"/>
  <c r="Z195" i="3"/>
  <c r="Z233" i="3" s="1"/>
  <c r="Z271" i="3" s="1"/>
  <c r="Y195" i="3"/>
  <c r="X195" i="3"/>
  <c r="X233" i="3" s="1"/>
  <c r="X271" i="3" s="1"/>
  <c r="W195" i="3"/>
  <c r="W233" i="3" s="1"/>
  <c r="W271" i="3" s="1"/>
  <c r="V195" i="3"/>
  <c r="V233" i="3" s="1"/>
  <c r="V271" i="3" s="1"/>
  <c r="U195" i="3"/>
  <c r="T195" i="3"/>
  <c r="T233" i="3" s="1"/>
  <c r="T271" i="3" s="1"/>
  <c r="S195" i="3"/>
  <c r="S233" i="3" s="1"/>
  <c r="S271" i="3" s="1"/>
  <c r="R195" i="3"/>
  <c r="R233" i="3" s="1"/>
  <c r="R271" i="3" s="1"/>
  <c r="Q195" i="3"/>
  <c r="P195" i="3"/>
  <c r="P233" i="3" s="1"/>
  <c r="P271" i="3" s="1"/>
  <c r="O195" i="3"/>
  <c r="O233" i="3" s="1"/>
  <c r="O271" i="3" s="1"/>
  <c r="N195" i="3"/>
  <c r="N233" i="3" s="1"/>
  <c r="N271" i="3" s="1"/>
  <c r="M195" i="3"/>
  <c r="L195" i="3"/>
  <c r="L233" i="3" s="1"/>
  <c r="L271" i="3" s="1"/>
  <c r="K195" i="3"/>
  <c r="K233" i="3" s="1"/>
  <c r="K271" i="3" s="1"/>
  <c r="J272" i="3" s="1" a="1"/>
  <c r="J195" i="3"/>
  <c r="J233" i="3" s="1"/>
  <c r="AN193" i="3"/>
  <c r="AM193" i="3"/>
  <c r="AL193" i="3"/>
  <c r="AK193" i="3"/>
  <c r="AJ193" i="3"/>
  <c r="AI193" i="3"/>
  <c r="AH193" i="3"/>
  <c r="AG193" i="3"/>
  <c r="AF193" i="3"/>
  <c r="AE193" i="3"/>
  <c r="AD193" i="3"/>
  <c r="AC193" i="3"/>
  <c r="AB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AN192" i="3"/>
  <c r="AM192" i="3"/>
  <c r="AL192" i="3"/>
  <c r="AK192" i="3"/>
  <c r="AJ192" i="3"/>
  <c r="AI192" i="3"/>
  <c r="AH192" i="3"/>
  <c r="AG192" i="3"/>
  <c r="AF192" i="3"/>
  <c r="AE192" i="3"/>
  <c r="AD192" i="3"/>
  <c r="AC192" i="3"/>
  <c r="AB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AM181" i="3"/>
  <c r="AL181" i="3"/>
  <c r="AK181" i="3"/>
  <c r="AJ181" i="3"/>
  <c r="AI181" i="3"/>
  <c r="AH181" i="3"/>
  <c r="AG181" i="3"/>
  <c r="AF181" i="3"/>
  <c r="AE181" i="3"/>
  <c r="AD181" i="3"/>
  <c r="AC181" i="3"/>
  <c r="AB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I181" i="3"/>
  <c r="AM180" i="3"/>
  <c r="AL180" i="3"/>
  <c r="AK180" i="3"/>
  <c r="AJ180" i="3"/>
  <c r="AI180" i="3"/>
  <c r="AH180" i="3"/>
  <c r="AG180" i="3"/>
  <c r="AF180" i="3"/>
  <c r="AE180" i="3"/>
  <c r="AD180" i="3"/>
  <c r="AC180" i="3"/>
  <c r="AB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AM179" i="3"/>
  <c r="AL179" i="3"/>
  <c r="AK179" i="3"/>
  <c r="AJ179" i="3"/>
  <c r="AI179" i="3"/>
  <c r="AH179" i="3"/>
  <c r="AG179" i="3"/>
  <c r="AF179" i="3"/>
  <c r="AE179" i="3"/>
  <c r="AD179" i="3"/>
  <c r="AC179" i="3"/>
  <c r="AB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I179" i="3"/>
  <c r="AM178" i="3"/>
  <c r="AL178" i="3"/>
  <c r="AK178" i="3"/>
  <c r="AJ178" i="3"/>
  <c r="AI178" i="3"/>
  <c r="AH178" i="3"/>
  <c r="AG178" i="3"/>
  <c r="AF178" i="3"/>
  <c r="AE178" i="3"/>
  <c r="AD178" i="3"/>
  <c r="AC178" i="3"/>
  <c r="AB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AM177" i="3"/>
  <c r="AL177" i="3"/>
  <c r="AK177" i="3"/>
  <c r="AJ177" i="3"/>
  <c r="AI177" i="3"/>
  <c r="AH177" i="3"/>
  <c r="AG177" i="3"/>
  <c r="AF177" i="3"/>
  <c r="AE177" i="3"/>
  <c r="AD177" i="3"/>
  <c r="AC177" i="3"/>
  <c r="AB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I177" i="3"/>
  <c r="AM176" i="3"/>
  <c r="AL176" i="3"/>
  <c r="AK176" i="3"/>
  <c r="AJ176" i="3"/>
  <c r="AI176" i="3"/>
  <c r="AH176" i="3"/>
  <c r="AG176" i="3"/>
  <c r="AF176" i="3"/>
  <c r="AE176" i="3"/>
  <c r="AD176" i="3"/>
  <c r="AC176" i="3"/>
  <c r="AB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I176" i="3"/>
  <c r="AM175" i="3"/>
  <c r="AL175" i="3"/>
  <c r="AK175" i="3"/>
  <c r="AJ175" i="3"/>
  <c r="AI175" i="3"/>
  <c r="AH175" i="3"/>
  <c r="AG175" i="3"/>
  <c r="AF175" i="3"/>
  <c r="AE175" i="3"/>
  <c r="AD175" i="3"/>
  <c r="AC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AM174" i="3"/>
  <c r="AL174" i="3"/>
  <c r="AK174" i="3"/>
  <c r="AJ174" i="3"/>
  <c r="AI174" i="3"/>
  <c r="AH174" i="3"/>
  <c r="AG174" i="3"/>
  <c r="AF174" i="3"/>
  <c r="AE174" i="3"/>
  <c r="AD174" i="3"/>
  <c r="AC174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AM173" i="3"/>
  <c r="AL173" i="3"/>
  <c r="AK173" i="3"/>
  <c r="AJ173" i="3"/>
  <c r="AI173" i="3"/>
  <c r="AH173" i="3"/>
  <c r="AG173" i="3"/>
  <c r="AF173" i="3"/>
  <c r="AE173" i="3"/>
  <c r="AD173" i="3"/>
  <c r="AC173" i="3"/>
  <c r="AB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AM172" i="3"/>
  <c r="AL172" i="3"/>
  <c r="AK172" i="3"/>
  <c r="AJ172" i="3"/>
  <c r="AI172" i="3"/>
  <c r="AH172" i="3"/>
  <c r="AG172" i="3"/>
  <c r="AF172" i="3"/>
  <c r="AE172" i="3"/>
  <c r="AD172" i="3"/>
  <c r="AC172" i="3"/>
  <c r="AB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AM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I171" i="3"/>
  <c r="AM170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AM169" i="3"/>
  <c r="AL169" i="3"/>
  <c r="AK169" i="3"/>
  <c r="AJ169" i="3"/>
  <c r="AI169" i="3"/>
  <c r="AH169" i="3"/>
  <c r="AG169" i="3"/>
  <c r="AF169" i="3"/>
  <c r="AE169" i="3"/>
  <c r="AD169" i="3"/>
  <c r="AC169" i="3"/>
  <c r="AB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I169" i="3"/>
  <c r="AM168" i="3"/>
  <c r="AL168" i="3"/>
  <c r="AK168" i="3"/>
  <c r="AJ168" i="3"/>
  <c r="AI168" i="3"/>
  <c r="AH168" i="3"/>
  <c r="AG168" i="3"/>
  <c r="AF168" i="3"/>
  <c r="AE168" i="3"/>
  <c r="AD168" i="3"/>
  <c r="AC168" i="3"/>
  <c r="AB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I168" i="3"/>
  <c r="AM167" i="3"/>
  <c r="AL167" i="3"/>
  <c r="AK167" i="3"/>
  <c r="AJ167" i="3"/>
  <c r="AI167" i="3"/>
  <c r="AH167" i="3"/>
  <c r="AG167" i="3"/>
  <c r="AF167" i="3"/>
  <c r="AE167" i="3"/>
  <c r="AD167" i="3"/>
  <c r="AC167" i="3"/>
  <c r="AB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I167" i="3"/>
  <c r="AM166" i="3"/>
  <c r="AL166" i="3"/>
  <c r="AK166" i="3"/>
  <c r="AJ166" i="3"/>
  <c r="AI166" i="3"/>
  <c r="AH166" i="3"/>
  <c r="AG166" i="3"/>
  <c r="AF166" i="3"/>
  <c r="AE166" i="3"/>
  <c r="AD166" i="3"/>
  <c r="AC166" i="3"/>
  <c r="AB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I166" i="3"/>
  <c r="AM165" i="3"/>
  <c r="AL165" i="3"/>
  <c r="AK165" i="3"/>
  <c r="AJ165" i="3"/>
  <c r="AI165" i="3"/>
  <c r="AH165" i="3"/>
  <c r="AG165" i="3"/>
  <c r="AF165" i="3"/>
  <c r="AE165" i="3"/>
  <c r="AD165" i="3"/>
  <c r="AC165" i="3"/>
  <c r="AB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I165" i="3"/>
  <c r="AM164" i="3"/>
  <c r="AL164" i="3"/>
  <c r="AK164" i="3"/>
  <c r="AJ164" i="3"/>
  <c r="AI164" i="3"/>
  <c r="AH164" i="3"/>
  <c r="AG164" i="3"/>
  <c r="AF164" i="3"/>
  <c r="AE164" i="3"/>
  <c r="AD164" i="3"/>
  <c r="AC164" i="3"/>
  <c r="AB164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I164" i="3"/>
  <c r="AM163" i="3"/>
  <c r="AL163" i="3"/>
  <c r="AK163" i="3"/>
  <c r="AJ163" i="3"/>
  <c r="AI163" i="3"/>
  <c r="AH163" i="3"/>
  <c r="AG163" i="3"/>
  <c r="AF163" i="3"/>
  <c r="AE163" i="3"/>
  <c r="AD163" i="3"/>
  <c r="AC163" i="3"/>
  <c r="AB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I163" i="3"/>
  <c r="AM162" i="3"/>
  <c r="AL162" i="3"/>
  <c r="AK162" i="3"/>
  <c r="AJ162" i="3"/>
  <c r="AI162" i="3"/>
  <c r="AH162" i="3"/>
  <c r="AG162" i="3"/>
  <c r="AF162" i="3"/>
  <c r="AE162" i="3"/>
  <c r="AD162" i="3"/>
  <c r="AC162" i="3"/>
  <c r="AB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AM161" i="3"/>
  <c r="AL161" i="3"/>
  <c r="AK161" i="3"/>
  <c r="AJ161" i="3"/>
  <c r="AI161" i="3"/>
  <c r="AH161" i="3"/>
  <c r="AG161" i="3"/>
  <c r="AF161" i="3"/>
  <c r="AE161" i="3"/>
  <c r="AD161" i="3"/>
  <c r="AC161" i="3"/>
  <c r="AB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AM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AM159" i="3"/>
  <c r="AL159" i="3"/>
  <c r="AK159" i="3"/>
  <c r="AJ159" i="3"/>
  <c r="AI159" i="3"/>
  <c r="AH159" i="3"/>
  <c r="AG159" i="3"/>
  <c r="AF159" i="3"/>
  <c r="AE159" i="3"/>
  <c r="AD159" i="3"/>
  <c r="AC159" i="3"/>
  <c r="AB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AM158" i="3"/>
  <c r="AL158" i="3"/>
  <c r="AK158" i="3"/>
  <c r="AJ158" i="3"/>
  <c r="AI158" i="3"/>
  <c r="AH158" i="3"/>
  <c r="AG158" i="3"/>
  <c r="AF158" i="3"/>
  <c r="AE158" i="3"/>
  <c r="AD158" i="3"/>
  <c r="AC158" i="3"/>
  <c r="AB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AM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AM156" i="3"/>
  <c r="AL156" i="3"/>
  <c r="AK156" i="3"/>
  <c r="AJ156" i="3"/>
  <c r="AI156" i="3"/>
  <c r="AH156" i="3"/>
  <c r="AG156" i="3"/>
  <c r="AF156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AM155" i="3"/>
  <c r="AL155" i="3"/>
  <c r="AK155" i="3"/>
  <c r="AJ155" i="3"/>
  <c r="AI155" i="3"/>
  <c r="AH155" i="3"/>
  <c r="AG155" i="3"/>
  <c r="AF155" i="3"/>
  <c r="AE155" i="3"/>
  <c r="AD155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AM154" i="3"/>
  <c r="AL154" i="3"/>
  <c r="AK154" i="3"/>
  <c r="AJ154" i="3"/>
  <c r="AI154" i="3"/>
  <c r="AH154" i="3"/>
  <c r="AG154" i="3"/>
  <c r="AF154" i="3"/>
  <c r="AE154" i="3"/>
  <c r="AD154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AM153" i="3"/>
  <c r="AL153" i="3"/>
  <c r="AK153" i="3"/>
  <c r="AJ153" i="3"/>
  <c r="AI153" i="3"/>
  <c r="AH153" i="3"/>
  <c r="AG153" i="3"/>
  <c r="AF153" i="3"/>
  <c r="AE153" i="3"/>
  <c r="AD153" i="3"/>
  <c r="AC153" i="3"/>
  <c r="AB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AM152" i="3"/>
  <c r="AL152" i="3"/>
  <c r="AK152" i="3"/>
  <c r="AJ152" i="3"/>
  <c r="AI152" i="3"/>
  <c r="AH152" i="3"/>
  <c r="AG152" i="3"/>
  <c r="AF152" i="3"/>
  <c r="AE152" i="3"/>
  <c r="AD152" i="3"/>
  <c r="AC152" i="3"/>
  <c r="AB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AM149" i="3"/>
  <c r="AL149" i="3"/>
  <c r="AK149" i="3"/>
  <c r="AJ149" i="3"/>
  <c r="AI149" i="3"/>
  <c r="AH149" i="3"/>
  <c r="AG149" i="3"/>
  <c r="AF149" i="3"/>
  <c r="AE149" i="3"/>
  <c r="AD149" i="3"/>
  <c r="AC149" i="3"/>
  <c r="AB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AQ134" i="3"/>
  <c r="AM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AS133" i="3"/>
  <c r="AN133" i="3"/>
  <c r="AS132" i="3"/>
  <c r="AN132" i="3"/>
  <c r="AS131" i="3"/>
  <c r="AN131" i="3"/>
  <c r="AS130" i="3"/>
  <c r="AN130" i="3"/>
  <c r="AS129" i="3"/>
  <c r="AN129" i="3"/>
  <c r="AS128" i="3"/>
  <c r="AN128" i="3"/>
  <c r="AS127" i="3"/>
  <c r="AN127" i="3"/>
  <c r="AS126" i="3"/>
  <c r="AN126" i="3"/>
  <c r="AS125" i="3"/>
  <c r="AN125" i="3"/>
  <c r="AS124" i="3"/>
  <c r="AN124" i="3"/>
  <c r="AS123" i="3"/>
  <c r="AN123" i="3"/>
  <c r="AS122" i="3"/>
  <c r="AN122" i="3"/>
  <c r="AS121" i="3"/>
  <c r="AN121" i="3"/>
  <c r="AS120" i="3"/>
  <c r="AN120" i="3"/>
  <c r="AS119" i="3"/>
  <c r="AN119" i="3"/>
  <c r="AS118" i="3"/>
  <c r="AN118" i="3"/>
  <c r="AS117" i="3"/>
  <c r="AN117" i="3"/>
  <c r="AS116" i="3"/>
  <c r="AN116" i="3"/>
  <c r="AS115" i="3"/>
  <c r="AN115" i="3"/>
  <c r="AS114" i="3"/>
  <c r="AN114" i="3"/>
  <c r="AS113" i="3"/>
  <c r="AN113" i="3"/>
  <c r="AS112" i="3"/>
  <c r="AN112" i="3"/>
  <c r="AS111" i="3"/>
  <c r="AN111" i="3"/>
  <c r="AS110" i="3"/>
  <c r="AN110" i="3"/>
  <c r="AS109" i="3"/>
  <c r="AN109" i="3"/>
  <c r="AS108" i="3"/>
  <c r="AN108" i="3"/>
  <c r="AS107" i="3"/>
  <c r="AN107" i="3"/>
  <c r="AS106" i="3"/>
  <c r="AN106" i="3"/>
  <c r="AS105" i="3"/>
  <c r="AN105" i="3"/>
  <c r="AN104" i="3"/>
  <c r="AN103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AM100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AN85" i="3"/>
  <c r="AN84" i="3"/>
  <c r="AN83" i="3"/>
  <c r="AN82" i="3"/>
  <c r="AN81" i="3"/>
  <c r="AN80" i="3"/>
  <c r="AN79" i="3"/>
  <c r="AN78" i="3"/>
  <c r="AN77" i="3"/>
  <c r="AN76" i="3"/>
  <c r="AN75" i="3"/>
  <c r="AN74" i="3"/>
  <c r="AN73" i="3"/>
  <c r="AN72" i="3"/>
  <c r="AN71" i="3"/>
  <c r="AN70" i="3"/>
  <c r="AN69" i="3"/>
  <c r="AN68" i="3"/>
  <c r="AN67" i="3"/>
  <c r="AN66" i="3"/>
  <c r="AN65" i="3"/>
  <c r="AN64" i="3"/>
  <c r="AN63" i="3"/>
  <c r="AN62" i="3"/>
  <c r="AN61" i="3"/>
  <c r="AN60" i="3"/>
  <c r="AN59" i="3"/>
  <c r="AN58" i="3"/>
  <c r="AN57" i="3"/>
  <c r="AN56" i="3"/>
  <c r="AN55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DF36" i="3"/>
  <c r="DE36" i="3"/>
  <c r="DD36" i="3"/>
  <c r="DC36" i="3"/>
  <c r="DB36" i="3"/>
  <c r="DA36" i="3"/>
  <c r="CZ36" i="3"/>
  <c r="CY36" i="3"/>
  <c r="CX36" i="3"/>
  <c r="CW36" i="3"/>
  <c r="CV36" i="3"/>
  <c r="CU36" i="3"/>
  <c r="CT36" i="3"/>
  <c r="CS36" i="3"/>
  <c r="CR36" i="3"/>
  <c r="CQ36" i="3"/>
  <c r="CP36" i="3"/>
  <c r="CO36" i="3"/>
  <c r="CN36" i="3"/>
  <c r="CM36" i="3"/>
  <c r="CL36" i="3"/>
  <c r="CK36" i="3"/>
  <c r="CJ36" i="3"/>
  <c r="CI36" i="3"/>
  <c r="CH36" i="3"/>
  <c r="CG36" i="3"/>
  <c r="CF36" i="3"/>
  <c r="CE36" i="3"/>
  <c r="CD36" i="3"/>
  <c r="CC36" i="3"/>
  <c r="CB36" i="3"/>
  <c r="DF35" i="3"/>
  <c r="DE35" i="3"/>
  <c r="DD35" i="3"/>
  <c r="DC35" i="3"/>
  <c r="DB35" i="3"/>
  <c r="DA35" i="3"/>
  <c r="CZ35" i="3"/>
  <c r="CY35" i="3"/>
  <c r="CX35" i="3"/>
  <c r="CW35" i="3"/>
  <c r="CV35" i="3"/>
  <c r="CU35" i="3"/>
  <c r="CT35" i="3"/>
  <c r="CS35" i="3"/>
  <c r="CR35" i="3"/>
  <c r="CQ35" i="3"/>
  <c r="CP35" i="3"/>
  <c r="CO35" i="3"/>
  <c r="CN35" i="3"/>
  <c r="CM35" i="3"/>
  <c r="CL35" i="3"/>
  <c r="CK35" i="3"/>
  <c r="CJ35" i="3"/>
  <c r="CI35" i="3"/>
  <c r="CH35" i="3"/>
  <c r="CG35" i="3"/>
  <c r="CF35" i="3"/>
  <c r="CE35" i="3"/>
  <c r="CD35" i="3"/>
  <c r="CC35" i="3"/>
  <c r="CB35" i="3"/>
  <c r="DF34" i="3"/>
  <c r="DE34" i="3"/>
  <c r="DD34" i="3"/>
  <c r="DC34" i="3"/>
  <c r="DB34" i="3"/>
  <c r="DA34" i="3"/>
  <c r="CZ34" i="3"/>
  <c r="CY34" i="3"/>
  <c r="CX34" i="3"/>
  <c r="CW34" i="3"/>
  <c r="CV34" i="3"/>
  <c r="CU34" i="3"/>
  <c r="CT34" i="3"/>
  <c r="CS34" i="3"/>
  <c r="CR34" i="3"/>
  <c r="CQ34" i="3"/>
  <c r="CP34" i="3"/>
  <c r="CO34" i="3"/>
  <c r="CN34" i="3"/>
  <c r="CM34" i="3"/>
  <c r="CL34" i="3"/>
  <c r="CK34" i="3"/>
  <c r="CJ34" i="3"/>
  <c r="CI34" i="3"/>
  <c r="CH34" i="3"/>
  <c r="CG34" i="3"/>
  <c r="CF34" i="3"/>
  <c r="CE34" i="3"/>
  <c r="CD34" i="3"/>
  <c r="CC34" i="3"/>
  <c r="CB34" i="3"/>
  <c r="DF33" i="3"/>
  <c r="DE33" i="3"/>
  <c r="DD33" i="3"/>
  <c r="DC33" i="3"/>
  <c r="DB33" i="3"/>
  <c r="DA33" i="3"/>
  <c r="CZ33" i="3"/>
  <c r="CY33" i="3"/>
  <c r="CX33" i="3"/>
  <c r="CW33" i="3"/>
  <c r="CV33" i="3"/>
  <c r="CU33" i="3"/>
  <c r="CT33" i="3"/>
  <c r="CS33" i="3"/>
  <c r="CR33" i="3"/>
  <c r="CQ33" i="3"/>
  <c r="CP33" i="3"/>
  <c r="CO33" i="3"/>
  <c r="CN33" i="3"/>
  <c r="CM33" i="3"/>
  <c r="CL33" i="3"/>
  <c r="CK33" i="3"/>
  <c r="CJ33" i="3"/>
  <c r="CI33" i="3"/>
  <c r="CH33" i="3"/>
  <c r="CG33" i="3"/>
  <c r="CF33" i="3"/>
  <c r="CE33" i="3"/>
  <c r="CD33" i="3"/>
  <c r="CC33" i="3"/>
  <c r="CB33" i="3"/>
  <c r="DF32" i="3"/>
  <c r="DE32" i="3"/>
  <c r="DD32" i="3"/>
  <c r="DC32" i="3"/>
  <c r="DB32" i="3"/>
  <c r="DA32" i="3"/>
  <c r="CZ32" i="3"/>
  <c r="CY32" i="3"/>
  <c r="CX32" i="3"/>
  <c r="CW32" i="3"/>
  <c r="CV32" i="3"/>
  <c r="CU32" i="3"/>
  <c r="CT32" i="3"/>
  <c r="CS32" i="3"/>
  <c r="CR32" i="3"/>
  <c r="CQ32" i="3"/>
  <c r="CP32" i="3"/>
  <c r="CO32" i="3"/>
  <c r="CN32" i="3"/>
  <c r="CM32" i="3"/>
  <c r="CL32" i="3"/>
  <c r="CK32" i="3"/>
  <c r="CJ32" i="3"/>
  <c r="CI32" i="3"/>
  <c r="CH32" i="3"/>
  <c r="CG32" i="3"/>
  <c r="CF32" i="3"/>
  <c r="CE32" i="3"/>
  <c r="CD32" i="3"/>
  <c r="CC32" i="3"/>
  <c r="CB32" i="3"/>
  <c r="DF31" i="3"/>
  <c r="DE31" i="3"/>
  <c r="DD31" i="3"/>
  <c r="DC31" i="3"/>
  <c r="DB31" i="3"/>
  <c r="DA31" i="3"/>
  <c r="CZ31" i="3"/>
  <c r="CY31" i="3"/>
  <c r="CX31" i="3"/>
  <c r="CW31" i="3"/>
  <c r="CV31" i="3"/>
  <c r="CU31" i="3"/>
  <c r="CT31" i="3"/>
  <c r="CS31" i="3"/>
  <c r="CR31" i="3"/>
  <c r="CQ31" i="3"/>
  <c r="CP31" i="3"/>
  <c r="CO31" i="3"/>
  <c r="CN31" i="3"/>
  <c r="CM31" i="3"/>
  <c r="CL31" i="3"/>
  <c r="CK31" i="3"/>
  <c r="CJ31" i="3"/>
  <c r="CI31" i="3"/>
  <c r="CH31" i="3"/>
  <c r="CG31" i="3"/>
  <c r="CF31" i="3"/>
  <c r="CE31" i="3"/>
  <c r="CD31" i="3"/>
  <c r="CC31" i="3"/>
  <c r="CB31" i="3"/>
  <c r="DF30" i="3"/>
  <c r="DE30" i="3"/>
  <c r="DD30" i="3"/>
  <c r="DC30" i="3"/>
  <c r="DB30" i="3"/>
  <c r="DA30" i="3"/>
  <c r="CZ30" i="3"/>
  <c r="CY30" i="3"/>
  <c r="CX30" i="3"/>
  <c r="CW30" i="3"/>
  <c r="CV30" i="3"/>
  <c r="CU30" i="3"/>
  <c r="CT30" i="3"/>
  <c r="CS30" i="3"/>
  <c r="CR30" i="3"/>
  <c r="CQ30" i="3"/>
  <c r="CP30" i="3"/>
  <c r="CO30" i="3"/>
  <c r="CN30" i="3"/>
  <c r="CM30" i="3"/>
  <c r="CL30" i="3"/>
  <c r="CK30" i="3"/>
  <c r="CJ30" i="3"/>
  <c r="CI30" i="3"/>
  <c r="CH30" i="3"/>
  <c r="CG30" i="3"/>
  <c r="CF30" i="3"/>
  <c r="CE30" i="3"/>
  <c r="CD30" i="3"/>
  <c r="CC30" i="3"/>
  <c r="CB30" i="3"/>
  <c r="DF29" i="3"/>
  <c r="DE29" i="3"/>
  <c r="DD29" i="3"/>
  <c r="DC29" i="3"/>
  <c r="DB29" i="3"/>
  <c r="DA29" i="3"/>
  <c r="CZ29" i="3"/>
  <c r="CY29" i="3"/>
  <c r="CX29" i="3"/>
  <c r="CW29" i="3"/>
  <c r="CV29" i="3"/>
  <c r="CU29" i="3"/>
  <c r="CT29" i="3"/>
  <c r="CS29" i="3"/>
  <c r="CR29" i="3"/>
  <c r="CQ29" i="3"/>
  <c r="CP29" i="3"/>
  <c r="CO29" i="3"/>
  <c r="CN29" i="3"/>
  <c r="CM29" i="3"/>
  <c r="CL29" i="3"/>
  <c r="CK29" i="3"/>
  <c r="CJ29" i="3"/>
  <c r="CI29" i="3"/>
  <c r="CH29" i="3"/>
  <c r="CG29" i="3"/>
  <c r="CF29" i="3"/>
  <c r="CE29" i="3"/>
  <c r="CD29" i="3"/>
  <c r="CC29" i="3"/>
  <c r="CB29" i="3"/>
  <c r="DF28" i="3"/>
  <c r="DE28" i="3"/>
  <c r="DD28" i="3"/>
  <c r="DC28" i="3"/>
  <c r="DB28" i="3"/>
  <c r="DA28" i="3"/>
  <c r="CZ28" i="3"/>
  <c r="CY28" i="3"/>
  <c r="CX28" i="3"/>
  <c r="CW28" i="3"/>
  <c r="CV28" i="3"/>
  <c r="CU28" i="3"/>
  <c r="CT28" i="3"/>
  <c r="CS28" i="3"/>
  <c r="CR28" i="3"/>
  <c r="CQ28" i="3"/>
  <c r="CP28" i="3"/>
  <c r="CO28" i="3"/>
  <c r="CN28" i="3"/>
  <c r="CM28" i="3"/>
  <c r="CL28" i="3"/>
  <c r="CK28" i="3"/>
  <c r="CJ28" i="3"/>
  <c r="CI28" i="3"/>
  <c r="CH28" i="3"/>
  <c r="CG28" i="3"/>
  <c r="CF28" i="3"/>
  <c r="CE28" i="3"/>
  <c r="CD28" i="3"/>
  <c r="CC28" i="3"/>
  <c r="CB28" i="3"/>
  <c r="DF27" i="3"/>
  <c r="DE27" i="3"/>
  <c r="DD27" i="3"/>
  <c r="DC27" i="3"/>
  <c r="DB27" i="3"/>
  <c r="DA27" i="3"/>
  <c r="CZ27" i="3"/>
  <c r="CY27" i="3"/>
  <c r="CX27" i="3"/>
  <c r="CW27" i="3"/>
  <c r="CV27" i="3"/>
  <c r="CU27" i="3"/>
  <c r="CT27" i="3"/>
  <c r="CS27" i="3"/>
  <c r="CR27" i="3"/>
  <c r="CQ27" i="3"/>
  <c r="CP27" i="3"/>
  <c r="CO27" i="3"/>
  <c r="CN27" i="3"/>
  <c r="CM27" i="3"/>
  <c r="CL27" i="3"/>
  <c r="CK27" i="3"/>
  <c r="CJ27" i="3"/>
  <c r="CI27" i="3"/>
  <c r="CH27" i="3"/>
  <c r="CG27" i="3"/>
  <c r="CF27" i="3"/>
  <c r="CE27" i="3"/>
  <c r="CD27" i="3"/>
  <c r="CC27" i="3"/>
  <c r="CB27" i="3"/>
  <c r="BP27" i="3"/>
  <c r="DF26" i="3"/>
  <c r="DE26" i="3"/>
  <c r="DD26" i="3"/>
  <c r="DC26" i="3"/>
  <c r="DB26" i="3"/>
  <c r="DA26" i="3"/>
  <c r="CZ26" i="3"/>
  <c r="CY26" i="3"/>
  <c r="CX26" i="3"/>
  <c r="CW26" i="3"/>
  <c r="CV26" i="3"/>
  <c r="CU26" i="3"/>
  <c r="CT26" i="3"/>
  <c r="CS26" i="3"/>
  <c r="CR26" i="3"/>
  <c r="CQ26" i="3"/>
  <c r="CP26" i="3"/>
  <c r="CO26" i="3"/>
  <c r="CN26" i="3"/>
  <c r="CM26" i="3"/>
  <c r="CL26" i="3"/>
  <c r="CK26" i="3"/>
  <c r="CJ26" i="3"/>
  <c r="CI26" i="3"/>
  <c r="CH26" i="3"/>
  <c r="CG26" i="3"/>
  <c r="CF26" i="3"/>
  <c r="CE26" i="3"/>
  <c r="CD26" i="3"/>
  <c r="CC26" i="3"/>
  <c r="CB26" i="3"/>
  <c r="DF25" i="3"/>
  <c r="DE25" i="3"/>
  <c r="DD25" i="3"/>
  <c r="DC25" i="3"/>
  <c r="DB25" i="3"/>
  <c r="DA25" i="3"/>
  <c r="CZ25" i="3"/>
  <c r="CY25" i="3"/>
  <c r="CX25" i="3"/>
  <c r="CW25" i="3"/>
  <c r="CV25" i="3"/>
  <c r="CU25" i="3"/>
  <c r="CT25" i="3"/>
  <c r="CS25" i="3"/>
  <c r="CR25" i="3"/>
  <c r="CQ25" i="3"/>
  <c r="CP25" i="3"/>
  <c r="CO25" i="3"/>
  <c r="CN25" i="3"/>
  <c r="CM25" i="3"/>
  <c r="CL25" i="3"/>
  <c r="CK25" i="3"/>
  <c r="CJ25" i="3"/>
  <c r="CI25" i="3"/>
  <c r="CH25" i="3"/>
  <c r="CG25" i="3"/>
  <c r="CF25" i="3"/>
  <c r="CE25" i="3"/>
  <c r="CD25" i="3"/>
  <c r="CC25" i="3"/>
  <c r="CB25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BF21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DF11" i="3"/>
  <c r="DE11" i="3"/>
  <c r="DD11" i="3"/>
  <c r="DC11" i="3"/>
  <c r="DB11" i="3"/>
  <c r="DA11" i="3"/>
  <c r="CZ11" i="3"/>
  <c r="CY11" i="3"/>
  <c r="CX11" i="3"/>
  <c r="CW11" i="3"/>
  <c r="CV11" i="3"/>
  <c r="CU11" i="3"/>
  <c r="CT11" i="3"/>
  <c r="CS11" i="3"/>
  <c r="CR11" i="3"/>
  <c r="CQ11" i="3"/>
  <c r="CP11" i="3"/>
  <c r="CO11" i="3"/>
  <c r="CN11" i="3"/>
  <c r="CM11" i="3"/>
  <c r="CL11" i="3"/>
  <c r="CK11" i="3"/>
  <c r="CJ11" i="3"/>
  <c r="CI11" i="3"/>
  <c r="CH11" i="3"/>
  <c r="CG11" i="3"/>
  <c r="CF11" i="3"/>
  <c r="CE11" i="3"/>
  <c r="CD11" i="3"/>
  <c r="CC11" i="3"/>
  <c r="CB11" i="3"/>
  <c r="DF10" i="3"/>
  <c r="DE10" i="3"/>
  <c r="DD10" i="3"/>
  <c r="DC10" i="3"/>
  <c r="DB10" i="3"/>
  <c r="DA10" i="3"/>
  <c r="CZ10" i="3"/>
  <c r="CY10" i="3"/>
  <c r="CX10" i="3"/>
  <c r="CW10" i="3"/>
  <c r="CV10" i="3"/>
  <c r="CU10" i="3"/>
  <c r="CT10" i="3"/>
  <c r="CS10" i="3"/>
  <c r="CR10" i="3"/>
  <c r="CQ10" i="3"/>
  <c r="CP10" i="3"/>
  <c r="CO10" i="3"/>
  <c r="CN10" i="3"/>
  <c r="CM10" i="3"/>
  <c r="CL10" i="3"/>
  <c r="CK10" i="3"/>
  <c r="CJ10" i="3"/>
  <c r="CI10" i="3"/>
  <c r="CH10" i="3"/>
  <c r="CG10" i="3"/>
  <c r="CF10" i="3"/>
  <c r="CE10" i="3"/>
  <c r="CD10" i="3"/>
  <c r="CC10" i="3"/>
  <c r="CB10" i="3"/>
  <c r="DF9" i="3"/>
  <c r="DE9" i="3"/>
  <c r="DD9" i="3"/>
  <c r="DC9" i="3"/>
  <c r="DB9" i="3"/>
  <c r="DA9" i="3"/>
  <c r="CZ9" i="3"/>
  <c r="CY9" i="3"/>
  <c r="CX9" i="3"/>
  <c r="CW9" i="3"/>
  <c r="CV9" i="3"/>
  <c r="CU9" i="3"/>
  <c r="CT9" i="3"/>
  <c r="CS9" i="3"/>
  <c r="CR9" i="3"/>
  <c r="CQ9" i="3"/>
  <c r="CP9" i="3"/>
  <c r="CO9" i="3"/>
  <c r="CN9" i="3"/>
  <c r="CM9" i="3"/>
  <c r="CL9" i="3"/>
  <c r="CK9" i="3"/>
  <c r="CJ9" i="3"/>
  <c r="CI9" i="3"/>
  <c r="CH9" i="3"/>
  <c r="CG9" i="3"/>
  <c r="CF9" i="3"/>
  <c r="CE9" i="3"/>
  <c r="CD9" i="3"/>
  <c r="CC9" i="3"/>
  <c r="CB9" i="3"/>
  <c r="DF8" i="3"/>
  <c r="DE8" i="3"/>
  <c r="DD8" i="3"/>
  <c r="DC8" i="3"/>
  <c r="DB8" i="3"/>
  <c r="DA8" i="3"/>
  <c r="CZ8" i="3"/>
  <c r="CY8" i="3"/>
  <c r="CX8" i="3"/>
  <c r="CW8" i="3"/>
  <c r="CV8" i="3"/>
  <c r="CU8" i="3"/>
  <c r="CT8" i="3"/>
  <c r="CS8" i="3"/>
  <c r="CR8" i="3"/>
  <c r="CQ8" i="3"/>
  <c r="CP8" i="3"/>
  <c r="CO8" i="3"/>
  <c r="CN8" i="3"/>
  <c r="CM8" i="3"/>
  <c r="CL8" i="3"/>
  <c r="CK8" i="3"/>
  <c r="CJ8" i="3"/>
  <c r="CI8" i="3"/>
  <c r="CH8" i="3"/>
  <c r="CG8" i="3"/>
  <c r="CF8" i="3"/>
  <c r="CE8" i="3"/>
  <c r="CD8" i="3"/>
  <c r="CC8" i="3"/>
  <c r="CB8" i="3"/>
  <c r="DF7" i="3"/>
  <c r="DE7" i="3"/>
  <c r="DD7" i="3"/>
  <c r="DC7" i="3"/>
  <c r="DB7" i="3"/>
  <c r="DA7" i="3"/>
  <c r="CZ7" i="3"/>
  <c r="CY7" i="3"/>
  <c r="CX7" i="3"/>
  <c r="CW7" i="3"/>
  <c r="CV7" i="3"/>
  <c r="CU7" i="3"/>
  <c r="CT7" i="3"/>
  <c r="CS7" i="3"/>
  <c r="CR7" i="3"/>
  <c r="CQ7" i="3"/>
  <c r="CP7" i="3"/>
  <c r="CO7" i="3"/>
  <c r="CN7" i="3"/>
  <c r="CM7" i="3"/>
  <c r="CL7" i="3"/>
  <c r="CK7" i="3"/>
  <c r="CJ7" i="3"/>
  <c r="CI7" i="3"/>
  <c r="CH7" i="3"/>
  <c r="CG7" i="3"/>
  <c r="CF7" i="3"/>
  <c r="CE7" i="3"/>
  <c r="CD7" i="3"/>
  <c r="CC7" i="3"/>
  <c r="CB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DF6" i="3"/>
  <c r="DE6" i="3"/>
  <c r="DD6" i="3"/>
  <c r="DC6" i="3"/>
  <c r="DB6" i="3"/>
  <c r="DA6" i="3"/>
  <c r="CZ6" i="3"/>
  <c r="CY6" i="3"/>
  <c r="CX6" i="3"/>
  <c r="CW6" i="3"/>
  <c r="CV6" i="3"/>
  <c r="CU6" i="3"/>
  <c r="CT6" i="3"/>
  <c r="CS6" i="3"/>
  <c r="CR6" i="3"/>
  <c r="CQ6" i="3"/>
  <c r="CP6" i="3"/>
  <c r="CO6" i="3"/>
  <c r="CN6" i="3"/>
  <c r="CM6" i="3"/>
  <c r="CL6" i="3"/>
  <c r="CK6" i="3"/>
  <c r="CJ6" i="3"/>
  <c r="CI6" i="3"/>
  <c r="CH6" i="3"/>
  <c r="CG6" i="3"/>
  <c r="CF6" i="3"/>
  <c r="CE6" i="3"/>
  <c r="CD6" i="3"/>
  <c r="CC6" i="3"/>
  <c r="CB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T53" i="1" l="1"/>
  <c r="T55" i="1" s="1"/>
  <c r="K63" i="1"/>
  <c r="AS134" i="3"/>
  <c r="BF15" i="3" s="1"/>
  <c r="AO103" i="3" a="1"/>
  <c r="AO133" i="3" s="1"/>
  <c r="AP133" i="3" s="1"/>
  <c r="AN136" i="3"/>
  <c r="J301" i="3"/>
  <c r="J297" i="3"/>
  <c r="J293" i="3"/>
  <c r="J289" i="3"/>
  <c r="J285" i="3"/>
  <c r="J281" i="3"/>
  <c r="J277" i="3"/>
  <c r="J273" i="3"/>
  <c r="J300" i="3"/>
  <c r="J296" i="3"/>
  <c r="J292" i="3"/>
  <c r="J288" i="3"/>
  <c r="J284" i="3"/>
  <c r="J280" i="3"/>
  <c r="J276" i="3"/>
  <c r="J272" i="3"/>
  <c r="J299" i="3"/>
  <c r="J295" i="3"/>
  <c r="J291" i="3"/>
  <c r="J287" i="3"/>
  <c r="J283" i="3"/>
  <c r="J279" i="3"/>
  <c r="J275" i="3"/>
  <c r="J298" i="3"/>
  <c r="J282" i="3"/>
  <c r="J294" i="3"/>
  <c r="J278" i="3"/>
  <c r="J290" i="3"/>
  <c r="J274" i="3"/>
  <c r="J286" i="3"/>
  <c r="BF17" i="3" l="1"/>
  <c r="BF25" i="3" s="1"/>
  <c r="BF28" i="3" s="1"/>
  <c r="AS139" i="3"/>
  <c r="AO113" i="3"/>
  <c r="AP113" i="3" s="1"/>
  <c r="AO124" i="3"/>
  <c r="AP124" i="3" s="1"/>
  <c r="AO114" i="3"/>
  <c r="AP114" i="3" s="1"/>
  <c r="AO103" i="3"/>
  <c r="AO109" i="3"/>
  <c r="AP109" i="3" s="1"/>
  <c r="AO120" i="3"/>
  <c r="AP120" i="3" s="1"/>
  <c r="AO131" i="3"/>
  <c r="AP131" i="3" s="1"/>
  <c r="AO106" i="3"/>
  <c r="AP106" i="3" s="1"/>
  <c r="AO121" i="3"/>
  <c r="AP121" i="3" s="1"/>
  <c r="AO105" i="3"/>
  <c r="AP105" i="3" s="1"/>
  <c r="AO132" i="3"/>
  <c r="AP132" i="3" s="1"/>
  <c r="AO116" i="3"/>
  <c r="AP116" i="3" s="1"/>
  <c r="AO126" i="3"/>
  <c r="AP126" i="3" s="1"/>
  <c r="AO127" i="3"/>
  <c r="AP127" i="3" s="1"/>
  <c r="AO111" i="3"/>
  <c r="AP111" i="3" s="1"/>
  <c r="AO129" i="3"/>
  <c r="AP129" i="3" s="1"/>
  <c r="AO122" i="3"/>
  <c r="AP122" i="3" s="1"/>
  <c r="AO108" i="3"/>
  <c r="AP108" i="3" s="1"/>
  <c r="AO119" i="3"/>
  <c r="AP119" i="3" s="1"/>
  <c r="AO125" i="3"/>
  <c r="AP125" i="3" s="1"/>
  <c r="AO110" i="3"/>
  <c r="AP110" i="3" s="1"/>
  <c r="AO104" i="3"/>
  <c r="AP104" i="3" s="1"/>
  <c r="AO115" i="3"/>
  <c r="AP115" i="3" s="1"/>
  <c r="AO117" i="3"/>
  <c r="AP117" i="3" s="1"/>
  <c r="AO130" i="3"/>
  <c r="AP130" i="3" s="1"/>
  <c r="AO128" i="3"/>
  <c r="AP128" i="3" s="1"/>
  <c r="AO112" i="3"/>
  <c r="AP112" i="3" s="1"/>
  <c r="AO118" i="3"/>
  <c r="AP118" i="3" s="1"/>
  <c r="AO123" i="3"/>
  <c r="AP123" i="3" s="1"/>
  <c r="AO107" i="3"/>
  <c r="AP107" i="3" s="1"/>
  <c r="BR27" i="3" l="1"/>
  <c r="H83" i="1"/>
  <c r="K71" i="1"/>
  <c r="H61" i="1"/>
  <c r="C61" i="1"/>
  <c r="M58" i="1"/>
  <c r="M57" i="1"/>
  <c r="M56" i="1"/>
  <c r="M55" i="1"/>
  <c r="K49" i="1"/>
  <c r="C43" i="1"/>
  <c r="M43" i="1"/>
  <c r="T35" i="1" s="1"/>
  <c r="T37" i="1" s="1"/>
  <c r="S16" i="1"/>
  <c r="S18" i="1" s="1"/>
  <c r="H24" i="1"/>
  <c r="C11" i="1"/>
  <c r="H11" i="1"/>
  <c r="AA4" i="1" l="1"/>
  <c r="S4" i="1"/>
  <c r="AA1" i="1"/>
  <c r="AA3" i="1" s="1"/>
  <c r="S3" i="1"/>
  <c r="S1" i="1"/>
</calcChain>
</file>

<file path=xl/sharedStrings.xml><?xml version="1.0" encoding="utf-8"?>
<sst xmlns="http://schemas.openxmlformats.org/spreadsheetml/2006/main" count="710" uniqueCount="93">
  <si>
    <t>Demand 3000, Time Window of Solver 300 sec, Capacities 200 for each Worker, total Picking time 125900 sec</t>
  </si>
  <si>
    <t>Cost Maximization Result (Loadform 1)</t>
  </si>
  <si>
    <t>Cost Minimization Result (Loadform 1)</t>
  </si>
  <si>
    <t>Demand</t>
  </si>
  <si>
    <t xml:space="preserve">Demand </t>
  </si>
  <si>
    <t>Total Distance (meters)</t>
  </si>
  <si>
    <t>Total Time (Sec)</t>
  </si>
  <si>
    <t>Total Time (Hours)</t>
  </si>
  <si>
    <t>Per Hour Cost</t>
  </si>
  <si>
    <t>No of Workers</t>
  </si>
  <si>
    <t>Total Cost (1 loadform)</t>
  </si>
  <si>
    <t>Total Annual Cost</t>
  </si>
  <si>
    <t>Total Minimum annual Cost</t>
  </si>
  <si>
    <t>Total annual Cost</t>
  </si>
  <si>
    <t>Demand 6000, Time Window of Solver 300 sec, Capacities 300 for each Worker, picking time 251800 sec</t>
  </si>
  <si>
    <t>Cost Minimization Result (Loadform 2)</t>
  </si>
  <si>
    <t>Cost Maximization Result (Loadform 2)</t>
  </si>
  <si>
    <t>Total Distance</t>
  </si>
  <si>
    <t xml:space="preserve">Total Cost </t>
  </si>
  <si>
    <t>Total Cost (annual) - Minimization aspect</t>
  </si>
  <si>
    <t>Total Annual Cost (Maximization)</t>
  </si>
  <si>
    <t>Demand 10500, Time Window of Solver 300 sec, Capacities 400 for each Worker, picking time 440650 sec</t>
  </si>
  <si>
    <t>Cost Minimization Result (Loadform 3)</t>
  </si>
  <si>
    <t>Cost Maximization Result (Loadform 3)</t>
  </si>
  <si>
    <t>Demand 1500, Time Window of Solver 300 sec, Capacities 200 for each Worker, Total Picking Time 62950 sec</t>
  </si>
  <si>
    <t>Cost Minimization Result (Loadform 4)</t>
  </si>
  <si>
    <t>Cost Maximization Result (Loadform 4)</t>
  </si>
  <si>
    <t>meters</t>
  </si>
  <si>
    <t>Cost Minimization Result (Loadform 5)</t>
  </si>
  <si>
    <t>Cost Maximization Result (Loadform 5)</t>
  </si>
  <si>
    <t>Distance Matrix</t>
  </si>
  <si>
    <t>Location</t>
  </si>
  <si>
    <t>Start</t>
  </si>
  <si>
    <t>Rack 1</t>
  </si>
  <si>
    <t>Rack 2</t>
  </si>
  <si>
    <t>Rack 3</t>
  </si>
  <si>
    <t>Rack 4</t>
  </si>
  <si>
    <t>Rack 5</t>
  </si>
  <si>
    <t>Rack 6</t>
  </si>
  <si>
    <t>Rack 7</t>
  </si>
  <si>
    <t>Rack 8</t>
  </si>
  <si>
    <t>Rack 9</t>
  </si>
  <si>
    <t>Rack 10</t>
  </si>
  <si>
    <t>Rack 11</t>
  </si>
  <si>
    <t>Rack 12</t>
  </si>
  <si>
    <t>Rack 13</t>
  </si>
  <si>
    <t>Rack 14</t>
  </si>
  <si>
    <t>Rack 15</t>
  </si>
  <si>
    <t>Rack 16</t>
  </si>
  <si>
    <t>Rack 17</t>
  </si>
  <si>
    <t>Rack 18</t>
  </si>
  <si>
    <t>Rack 19</t>
  </si>
  <si>
    <t>Rack 20</t>
  </si>
  <si>
    <t>Rack 21</t>
  </si>
  <si>
    <t>Rack 22</t>
  </si>
  <si>
    <t>Rack 23</t>
  </si>
  <si>
    <t>Rack 24</t>
  </si>
  <si>
    <t>Rack 25</t>
  </si>
  <si>
    <t>Rack 26</t>
  </si>
  <si>
    <t>Rack 27</t>
  </si>
  <si>
    <t>Rack 28</t>
  </si>
  <si>
    <t>Rack 29</t>
  </si>
  <si>
    <t>Rack 30</t>
  </si>
  <si>
    <t>point</t>
  </si>
  <si>
    <t>x</t>
  </si>
  <si>
    <t>y</t>
  </si>
  <si>
    <t>Control Panel</t>
  </si>
  <si>
    <t>Assuming Monthly wage is PKR 35000 and 20 working days in a month for 8 hours. While workers only work 6 hours upto the mark</t>
  </si>
  <si>
    <t>dist</t>
  </si>
  <si>
    <t>in meters</t>
  </si>
  <si>
    <t>Max</t>
  </si>
  <si>
    <t>Diff</t>
  </si>
  <si>
    <t>SUM</t>
  </si>
  <si>
    <t>Outgoing</t>
  </si>
  <si>
    <t>Incoming</t>
  </si>
  <si>
    <t>Balance</t>
  </si>
  <si>
    <t>Picking Time per Item</t>
  </si>
  <si>
    <t>Total Picking time</t>
  </si>
  <si>
    <t>Capacities</t>
  </si>
  <si>
    <t>No of workers</t>
  </si>
  <si>
    <t>Time Matrix in Minutes</t>
  </si>
  <si>
    <t>Time Matrix (in Seconds)</t>
  </si>
  <si>
    <t>New Time Matrix with First row scaled</t>
  </si>
  <si>
    <t>Demand 600, Time Window of Solver 300 sec, Capacities 100 for each Worker, Total Picking Time 25180 sec</t>
  </si>
  <si>
    <t>Current Practice</t>
  </si>
  <si>
    <t>Current PracticeScenario (Loadform 1)</t>
  </si>
  <si>
    <t>Current PracticeData</t>
  </si>
  <si>
    <t>Current PracticeAnnual Cost</t>
  </si>
  <si>
    <t>Diff btw Current and Min</t>
  </si>
  <si>
    <t>Current Cost</t>
  </si>
  <si>
    <t>Minimization cost</t>
  </si>
  <si>
    <t>Maximum Cost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</si>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</sst>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85">
    <xf numFmtId="0" fontId="0" fillId="0" borderId="0" xfId="0"/>
    <xf numFmtId="0" fontId="0" fillId="0" borderId="0" xfId="0" applyAlignment="1">
      <alignment wrapText="1"/>
    </xf>
    <xf numFmtId="0" fontId="3" fillId="4" borderId="8" xfId="0" applyFont="1" applyFill="1" applyBorder="1" applyAlignment="1">
      <alignment horizontal="right"/>
    </xf>
    <xf numFmtId="0" fontId="3" fillId="0" borderId="0" xfId="0" applyFont="1"/>
    <xf numFmtId="0" fontId="0" fillId="0" borderId="11" xfId="0" applyBorder="1"/>
    <xf numFmtId="0" fontId="0" fillId="0" borderId="8" xfId="0" applyBorder="1"/>
    <xf numFmtId="0" fontId="0" fillId="5" borderId="8" xfId="0" applyFill="1" applyBorder="1"/>
    <xf numFmtId="0" fontId="1" fillId="6" borderId="14" xfId="0" applyFont="1" applyFill="1" applyBorder="1"/>
    <xf numFmtId="0" fontId="0" fillId="0" borderId="7" xfId="0" applyBorder="1"/>
    <xf numFmtId="0" fontId="0" fillId="0" borderId="17" xfId="0" applyBorder="1"/>
    <xf numFmtId="0" fontId="0" fillId="7" borderId="0" xfId="0" applyFill="1"/>
    <xf numFmtId="0" fontId="1" fillId="6" borderId="8" xfId="0" applyFont="1" applyFill="1" applyBorder="1"/>
    <xf numFmtId="0" fontId="0" fillId="0" borderId="22" xfId="0" applyBorder="1" applyAlignment="1">
      <alignment wrapText="1"/>
    </xf>
    <xf numFmtId="0" fontId="0" fillId="0" borderId="23" xfId="0" applyBorder="1"/>
    <xf numFmtId="0" fontId="0" fillId="0" borderId="15" xfId="0" applyBorder="1"/>
    <xf numFmtId="0" fontId="0" fillId="0" borderId="16" xfId="0" applyBorder="1"/>
    <xf numFmtId="0" fontId="3" fillId="4" borderId="7" xfId="0" applyFont="1" applyFill="1" applyBorder="1" applyAlignment="1">
      <alignment horizontal="right"/>
    </xf>
    <xf numFmtId="0" fontId="0" fillId="5" borderId="7" xfId="0" applyFill="1" applyBorder="1"/>
    <xf numFmtId="0" fontId="1" fillId="6" borderId="17" xfId="0" applyFont="1" applyFill="1" applyBorder="1"/>
    <xf numFmtId="0" fontId="0" fillId="0" borderId="24" xfId="0" applyBorder="1"/>
    <xf numFmtId="0" fontId="1" fillId="6" borderId="30" xfId="0" applyFont="1" applyFill="1" applyBorder="1"/>
    <xf numFmtId="0" fontId="0" fillId="0" borderId="22" xfId="0" applyBorder="1"/>
    <xf numFmtId="0" fontId="0" fillId="0" borderId="31" xfId="0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left"/>
    </xf>
    <xf numFmtId="0" fontId="3" fillId="4" borderId="7" xfId="0" applyFont="1" applyFill="1" applyBorder="1" applyAlignment="1">
      <alignment horizontal="left"/>
    </xf>
    <xf numFmtId="0" fontId="0" fillId="5" borderId="6" xfId="0" applyFill="1" applyBorder="1" applyAlignment="1">
      <alignment horizontal="left"/>
    </xf>
    <xf numFmtId="0" fontId="0" fillId="5" borderId="7" xfId="0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2" fillId="2" borderId="18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2" fillId="3" borderId="7" xfId="0" applyFont="1" applyFill="1" applyBorder="1" applyAlignment="1">
      <alignment horizontal="center"/>
    </xf>
    <xf numFmtId="0" fontId="0" fillId="0" borderId="15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29" xfId="0" applyBorder="1" applyAlignment="1">
      <alignment horizontal="left"/>
    </xf>
    <xf numFmtId="0" fontId="3" fillId="4" borderId="29" xfId="0" applyFont="1" applyFill="1" applyBorder="1" applyAlignment="1">
      <alignment horizontal="left"/>
    </xf>
    <xf numFmtId="0" fontId="3" fillId="4" borderId="28" xfId="0" applyFont="1" applyFill="1" applyBorder="1" applyAlignment="1">
      <alignment horizontal="left"/>
    </xf>
    <xf numFmtId="0" fontId="0" fillId="0" borderId="25" xfId="0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5" borderId="29" xfId="0" applyFill="1" applyBorder="1" applyAlignment="1">
      <alignment horizontal="left"/>
    </xf>
    <xf numFmtId="0" fontId="0" fillId="5" borderId="28" xfId="0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10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8" fillId="9" borderId="0" xfId="0" applyFont="1" applyFill="1" applyAlignment="1">
      <alignment horizontal="center"/>
    </xf>
    <xf numFmtId="0" fontId="9" fillId="0" borderId="33" xfId="0" applyFont="1" applyBorder="1" applyAlignment="1">
      <alignment horizontal="center" wrapText="1"/>
    </xf>
    <xf numFmtId="0" fontId="0" fillId="8" borderId="7" xfId="0" applyFill="1" applyBorder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0" fillId="3" borderId="7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9" borderId="0" xfId="0" applyFill="1"/>
    <xf numFmtId="0" fontId="0" fillId="0" borderId="0" xfId="0" applyAlignment="1">
      <alignment horizontal="center"/>
    </xf>
    <xf numFmtId="0" fontId="10" fillId="9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0" fontId="13" fillId="0" borderId="7" xfId="0" applyFont="1" applyBorder="1" applyAlignment="1">
      <alignment horizontal="left"/>
    </xf>
    <xf numFmtId="0" fontId="12" fillId="0" borderId="35" xfId="0" applyFont="1" applyBorder="1" applyAlignment="1">
      <alignment horizontal="left"/>
    </xf>
    <xf numFmtId="0" fontId="13" fillId="0" borderId="36" xfId="0" applyFont="1" applyBorder="1" applyAlignment="1">
      <alignment horizontal="left"/>
    </xf>
    <xf numFmtId="0" fontId="13" fillId="0" borderId="37" xfId="0" applyFont="1" applyBorder="1" applyAlignment="1">
      <alignment horizontal="left"/>
    </xf>
    <xf numFmtId="0" fontId="13" fillId="0" borderId="38" xfId="0" applyFont="1" applyBorder="1" applyAlignment="1">
      <alignment horizontal="left"/>
    </xf>
    <xf numFmtId="0" fontId="13" fillId="0" borderId="36" xfId="0" applyFont="1" applyBorder="1" applyAlignment="1">
      <alignment horizontal="center"/>
    </xf>
    <xf numFmtId="0" fontId="13" fillId="0" borderId="37" xfId="0" applyFont="1" applyBorder="1" applyAlignment="1">
      <alignment horizontal="center"/>
    </xf>
    <xf numFmtId="0" fontId="13" fillId="0" borderId="38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13" fillId="0" borderId="35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3" fillId="0" borderId="39" xfId="0" applyFont="1" applyBorder="1" applyAlignment="1">
      <alignment horizontal="left"/>
    </xf>
    <xf numFmtId="0" fontId="13" fillId="0" borderId="3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39" xfId="0" applyFont="1" applyBorder="1" applyAlignment="1">
      <alignment horizontal="center"/>
    </xf>
    <xf numFmtId="0" fontId="13" fillId="0" borderId="40" xfId="0" applyFont="1" applyBorder="1" applyAlignment="1">
      <alignment horizontal="left"/>
    </xf>
    <xf numFmtId="0" fontId="13" fillId="0" borderId="41" xfId="0" applyFont="1" applyBorder="1" applyAlignment="1">
      <alignment horizontal="left"/>
    </xf>
    <xf numFmtId="0" fontId="13" fillId="0" borderId="42" xfId="0" applyFont="1" applyBorder="1" applyAlignment="1">
      <alignment horizontal="left"/>
    </xf>
    <xf numFmtId="0" fontId="13" fillId="0" borderId="40" xfId="0" applyFont="1" applyBorder="1" applyAlignment="1">
      <alignment horizontal="center"/>
    </xf>
    <xf numFmtId="0" fontId="13" fillId="0" borderId="41" xfId="0" applyFont="1" applyBorder="1" applyAlignment="1">
      <alignment horizontal="center"/>
    </xf>
    <xf numFmtId="0" fontId="13" fillId="0" borderId="42" xfId="0" applyFont="1" applyBorder="1" applyAlignment="1">
      <alignment horizontal="center"/>
    </xf>
    <xf numFmtId="0" fontId="13" fillId="0" borderId="7" xfId="0" applyFont="1" applyBorder="1" applyAlignment="1">
      <alignment horizontal="left" vertical="center"/>
    </xf>
    <xf numFmtId="10" fontId="13" fillId="0" borderId="7" xfId="1" applyNumberFormat="1" applyFont="1" applyBorder="1" applyAlignment="1">
      <alignment horizontal="left"/>
    </xf>
    <xf numFmtId="0" fontId="13" fillId="0" borderId="7" xfId="0" applyFont="1" applyBorder="1" applyAlignment="1">
      <alignment horizontal="left" wrapText="1"/>
    </xf>
    <xf numFmtId="0" fontId="0" fillId="5" borderId="7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/>
    </xf>
    <xf numFmtId="0" fontId="0" fillId="5" borderId="27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/>
    </xf>
    <xf numFmtId="0" fontId="0" fillId="13" borderId="7" xfId="0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0" fillId="12" borderId="7" xfId="0" applyFill="1" applyBorder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6" fillId="8" borderId="0" xfId="0" applyFont="1" applyFill="1" applyAlignment="1">
      <alignment horizontal="center"/>
    </xf>
    <xf numFmtId="0" fontId="10" fillId="8" borderId="0" xfId="0" applyFont="1" applyFill="1" applyAlignment="1">
      <alignment horizontal="center" vertical="center"/>
    </xf>
    <xf numFmtId="0" fontId="10" fillId="8" borderId="41" xfId="0" applyFont="1" applyFill="1" applyBorder="1" applyAlignment="1">
      <alignment horizontal="center" vertical="center"/>
    </xf>
    <xf numFmtId="0" fontId="0" fillId="3" borderId="7" xfId="0" applyFill="1" applyBorder="1"/>
    <xf numFmtId="0" fontId="1" fillId="14" borderId="7" xfId="0" applyFont="1" applyFill="1" applyBorder="1"/>
    <xf numFmtId="0" fontId="0" fillId="0" borderId="43" xfId="0" applyBorder="1"/>
    <xf numFmtId="0" fontId="18" fillId="0" borderId="7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18" fillId="0" borderId="20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18" fillId="0" borderId="8" xfId="0" applyFont="1" applyBorder="1" applyAlignment="1">
      <alignment horizontal="center"/>
    </xf>
    <xf numFmtId="0" fontId="17" fillId="14" borderId="15" xfId="0" applyFont="1" applyFill="1" applyBorder="1" applyAlignment="1">
      <alignment horizontal="left"/>
    </xf>
    <xf numFmtId="0" fontId="17" fillId="14" borderId="16" xfId="0" applyFont="1" applyFill="1" applyBorder="1" applyAlignment="1">
      <alignment horizontal="left"/>
    </xf>
    <xf numFmtId="0" fontId="18" fillId="0" borderId="16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18" fillId="0" borderId="33" xfId="0" applyFont="1" applyBorder="1" applyAlignment="1">
      <alignment horizontal="center"/>
    </xf>
    <xf numFmtId="0" fontId="17" fillId="14" borderId="12" xfId="0" applyFont="1" applyFill="1" applyBorder="1" applyAlignment="1">
      <alignment horizontal="left"/>
    </xf>
    <xf numFmtId="0" fontId="17" fillId="14" borderId="13" xfId="0" applyFont="1" applyFill="1" applyBorder="1" applyAlignment="1">
      <alignment horizontal="left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7" xfId="0" applyFont="1" applyBorder="1" applyAlignment="1">
      <alignment horizontal="left"/>
    </xf>
    <xf numFmtId="0" fontId="6" fillId="0" borderId="17" xfId="0" applyFont="1" applyBorder="1"/>
    <xf numFmtId="0" fontId="6" fillId="0" borderId="7" xfId="0" applyFont="1" applyBorder="1" applyAlignment="1">
      <alignment horizontal="center"/>
    </xf>
    <xf numFmtId="0" fontId="6" fillId="0" borderId="0" xfId="0" applyFont="1"/>
    <xf numFmtId="0" fontId="6" fillId="0" borderId="7" xfId="0" applyFont="1" applyBorder="1" applyAlignment="1">
      <alignment horizontal="center" wrapText="1"/>
    </xf>
    <xf numFmtId="0" fontId="18" fillId="0" borderId="27" xfId="0" applyFont="1" applyBorder="1" applyAlignment="1">
      <alignment horizontal="center"/>
    </xf>
    <xf numFmtId="0" fontId="18" fillId="0" borderId="44" xfId="0" applyFont="1" applyBorder="1" applyAlignment="1">
      <alignment horizontal="center"/>
    </xf>
    <xf numFmtId="0" fontId="18" fillId="0" borderId="45" xfId="0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44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18" fillId="0" borderId="46" xfId="0" applyFont="1" applyBorder="1" applyAlignment="1">
      <alignment horizontal="center"/>
    </xf>
    <xf numFmtId="0" fontId="18" fillId="0" borderId="47" xfId="0" applyFont="1" applyBorder="1" applyAlignment="1">
      <alignment horizontal="center"/>
    </xf>
    <xf numFmtId="0" fontId="18" fillId="0" borderId="48" xfId="0" applyFont="1" applyBorder="1" applyAlignment="1">
      <alignment horizontal="center"/>
    </xf>
    <xf numFmtId="0" fontId="2" fillId="0" borderId="49" xfId="0" applyFont="1" applyBorder="1" applyAlignment="1">
      <alignment horizontal="left"/>
    </xf>
    <xf numFmtId="0" fontId="2" fillId="0" borderId="47" xfId="0" applyFont="1" applyBorder="1" applyAlignment="1">
      <alignment horizontal="left"/>
    </xf>
    <xf numFmtId="0" fontId="2" fillId="0" borderId="50" xfId="0" applyFont="1" applyBorder="1" applyAlignment="1">
      <alignment horizontal="left"/>
    </xf>
    <xf numFmtId="0" fontId="17" fillId="14" borderId="29" xfId="0" applyFont="1" applyFill="1" applyBorder="1" applyAlignment="1">
      <alignment horizontal="left"/>
    </xf>
    <xf numFmtId="0" fontId="17" fillId="14" borderId="44" xfId="0" applyFont="1" applyFill="1" applyBorder="1" applyAlignment="1">
      <alignment horizontal="left"/>
    </xf>
    <xf numFmtId="0" fontId="17" fillId="14" borderId="28" xfId="0" applyFont="1" applyFill="1" applyBorder="1" applyAlignment="1">
      <alignment horizontal="left"/>
    </xf>
    <xf numFmtId="0" fontId="2" fillId="3" borderId="49" xfId="0" applyFont="1" applyFill="1" applyBorder="1" applyAlignment="1">
      <alignment horizontal="center"/>
    </xf>
    <xf numFmtId="0" fontId="2" fillId="3" borderId="47" xfId="0" applyFont="1" applyFill="1" applyBorder="1" applyAlignment="1">
      <alignment horizontal="center"/>
    </xf>
    <xf numFmtId="0" fontId="2" fillId="3" borderId="48" xfId="0" applyFont="1" applyFill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7" xfId="0" applyFont="1" applyBorder="1" applyAlignment="1">
      <alignment horizontal="left"/>
    </xf>
    <xf numFmtId="0" fontId="18" fillId="0" borderId="44" xfId="0" applyFont="1" applyBorder="1" applyAlignment="1">
      <alignment horizontal="left"/>
    </xf>
    <xf numFmtId="0" fontId="18" fillId="0" borderId="28" xfId="0" applyFont="1" applyBorder="1" applyAlignment="1">
      <alignment horizontal="left"/>
    </xf>
    <xf numFmtId="0" fontId="2" fillId="3" borderId="32" xfId="0" applyFont="1" applyFill="1" applyBorder="1" applyAlignment="1">
      <alignment horizontal="center"/>
    </xf>
    <xf numFmtId="0" fontId="2" fillId="3" borderId="33" xfId="0" applyFont="1" applyFill="1" applyBorder="1" applyAlignment="1">
      <alignment horizontal="center"/>
    </xf>
    <xf numFmtId="0" fontId="2" fillId="3" borderId="34" xfId="0" applyFont="1" applyFill="1" applyBorder="1" applyAlignment="1">
      <alignment horizontal="center"/>
    </xf>
    <xf numFmtId="0" fontId="0" fillId="0" borderId="51" xfId="0" applyBorder="1" applyAlignment="1">
      <alignment horizontal="left"/>
    </xf>
    <xf numFmtId="0" fontId="0" fillId="0" borderId="42" xfId="0" applyBorder="1" applyAlignment="1">
      <alignment horizontal="left"/>
    </xf>
    <xf numFmtId="0" fontId="18" fillId="0" borderId="52" xfId="0" applyFont="1" applyBorder="1" applyAlignment="1">
      <alignment horizontal="center"/>
    </xf>
    <xf numFmtId="0" fontId="18" fillId="0" borderId="53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7" fillId="14" borderId="25" xfId="0" applyFont="1" applyFill="1" applyBorder="1" applyAlignment="1">
      <alignment horizontal="left"/>
    </xf>
    <xf numFmtId="0" fontId="17" fillId="14" borderId="53" xfId="0" applyFont="1" applyFill="1" applyBorder="1" applyAlignment="1">
      <alignment horizontal="left"/>
    </xf>
    <xf numFmtId="0" fontId="17" fillId="14" borderId="26" xfId="0" applyFont="1" applyFill="1" applyBorder="1" applyAlignment="1">
      <alignment horizontal="left"/>
    </xf>
    <xf numFmtId="0" fontId="2" fillId="3" borderId="27" xfId="0" applyFont="1" applyFill="1" applyBorder="1" applyAlignment="1">
      <alignment horizontal="center"/>
    </xf>
    <xf numFmtId="0" fontId="2" fillId="3" borderId="44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3" fillId="4" borderId="27" xfId="0" applyFont="1" applyFill="1" applyBorder="1" applyAlignment="1">
      <alignment horizontal="left"/>
    </xf>
    <xf numFmtId="0" fontId="0" fillId="5" borderId="27" xfId="0" applyFill="1" applyBorder="1" applyAlignment="1">
      <alignment horizontal="left"/>
    </xf>
  </cellXfs>
  <cellStyles count="2">
    <cellStyle name="Normal" xfId="0" builtinId="0"/>
    <cellStyle name="Percent" xfId="1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575344891827432E-2"/>
          <c:y val="2.6212972368058616E-2"/>
          <c:w val="0.91470972917645266"/>
          <c:h val="0.71227509660525945"/>
        </c:manualLayout>
      </c:layout>
      <c:scatterChart>
        <c:scatterStyle val="lineMarker"/>
        <c:varyColors val="1"/>
        <c:ser>
          <c:idx val="0"/>
          <c:order val="0"/>
          <c:tx>
            <c:strRef>
              <c:f>'Model Testing (Final)'!$G$8</c:f>
              <c:strCache>
                <c:ptCount val="1"/>
                <c:pt idx="0">
                  <c:v>y</c:v>
                </c:pt>
              </c:strCache>
            </c:strRef>
          </c:tx>
          <c:spPr>
            <a:ln w="25400">
              <a:noFill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FF000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D87-4F63-A5E0-41375DDF8924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D87-4F63-A5E0-41375DDF8924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D87-4F63-A5E0-41375DDF8924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DD87-4F63-A5E0-41375DDF8924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DD87-4F63-A5E0-41375DDF8924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DD87-4F63-A5E0-41375DDF8924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DD87-4F63-A5E0-41375DDF8924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DD87-4F63-A5E0-41375DDF8924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3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DD87-4F63-A5E0-41375DDF8924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DD87-4F63-A5E0-41375DDF8924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5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DD87-4F63-A5E0-41375DDF8924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6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DD87-4F63-A5E0-41375DDF8924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DD87-4F63-A5E0-41375DDF8924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2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DD87-4F63-A5E0-41375DDF8924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3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DD87-4F63-A5E0-41375DDF8924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4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DD87-4F63-A5E0-41375DDF8924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5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DD87-4F63-A5E0-41375DDF8924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6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DD87-4F63-A5E0-41375DDF8924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DD87-4F63-A5E0-41375DDF8924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2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DD87-4F63-A5E0-41375DDF8924}"/>
              </c:ext>
            </c:extLst>
          </c:dPt>
          <c:dPt>
            <c:idx val="2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3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DD87-4F63-A5E0-41375DDF8924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4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DD87-4F63-A5E0-41375DDF8924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5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D-DD87-4F63-A5E0-41375DDF8924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6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F-DD87-4F63-A5E0-41375DDF8924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1-DD87-4F63-A5E0-41375DDF8924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2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3-DD87-4F63-A5E0-41375DDF8924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3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5-DD87-4F63-A5E0-41375DDF8924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4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7-DD87-4F63-A5E0-41375DDF8924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5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DD87-4F63-A5E0-41375DDF8924}"/>
              </c:ext>
            </c:extLst>
          </c:dPt>
          <c:dPt>
            <c:idx val="29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6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B-DD87-4F63-A5E0-41375DDF8924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D-DD87-4F63-A5E0-41375DDF8924}"/>
              </c:ext>
            </c:extLst>
          </c:dPt>
          <c:xVal>
            <c:numRef>
              <c:f>'Model Testing (Final)'!$F$9:$F$39</c:f>
              <c:numCache>
                <c:formatCode>General</c:formatCode>
                <c:ptCount val="31"/>
                <c:pt idx="0">
                  <c:v>0</c:v>
                </c:pt>
                <c:pt idx="1">
                  <c:v>-22</c:v>
                </c:pt>
                <c:pt idx="2">
                  <c:v>-20</c:v>
                </c:pt>
                <c:pt idx="3">
                  <c:v>-16</c:v>
                </c:pt>
                <c:pt idx="4">
                  <c:v>-14</c:v>
                </c:pt>
                <c:pt idx="5">
                  <c:v>-10</c:v>
                </c:pt>
                <c:pt idx="6">
                  <c:v>10</c:v>
                </c:pt>
                <c:pt idx="7">
                  <c:v>14</c:v>
                </c:pt>
                <c:pt idx="8">
                  <c:v>16</c:v>
                </c:pt>
                <c:pt idx="9">
                  <c:v>20</c:v>
                </c:pt>
                <c:pt idx="10">
                  <c:v>22</c:v>
                </c:pt>
                <c:pt idx="11">
                  <c:v>-22</c:v>
                </c:pt>
                <c:pt idx="12">
                  <c:v>-20</c:v>
                </c:pt>
                <c:pt idx="13">
                  <c:v>-16</c:v>
                </c:pt>
                <c:pt idx="14">
                  <c:v>-14</c:v>
                </c:pt>
                <c:pt idx="15">
                  <c:v>-10</c:v>
                </c:pt>
                <c:pt idx="16">
                  <c:v>10</c:v>
                </c:pt>
                <c:pt idx="17">
                  <c:v>14</c:v>
                </c:pt>
                <c:pt idx="18">
                  <c:v>16</c:v>
                </c:pt>
                <c:pt idx="19">
                  <c:v>20</c:v>
                </c:pt>
                <c:pt idx="20">
                  <c:v>22</c:v>
                </c:pt>
                <c:pt idx="21">
                  <c:v>-22</c:v>
                </c:pt>
                <c:pt idx="22">
                  <c:v>-20</c:v>
                </c:pt>
                <c:pt idx="23">
                  <c:v>-16</c:v>
                </c:pt>
                <c:pt idx="24">
                  <c:v>-14</c:v>
                </c:pt>
                <c:pt idx="25">
                  <c:v>-10</c:v>
                </c:pt>
                <c:pt idx="26">
                  <c:v>20</c:v>
                </c:pt>
                <c:pt idx="27">
                  <c:v>14</c:v>
                </c:pt>
                <c:pt idx="28">
                  <c:v>16</c:v>
                </c:pt>
                <c:pt idx="29">
                  <c:v>20</c:v>
                </c:pt>
                <c:pt idx="30">
                  <c:v>22</c:v>
                </c:pt>
              </c:numCache>
            </c:numRef>
          </c:xVal>
          <c:yVal>
            <c:numRef>
              <c:f>'Model Testing (Final)'!$G$9:$G$39</c:f>
              <c:numCache>
                <c:formatCode>General</c:formatCode>
                <c:ptCount val="31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32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DD87-4F63-A5E0-41375DDF8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468032"/>
        <c:axId val="631471968"/>
      </c:scatterChart>
      <c:valAx>
        <c:axId val="63146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471968"/>
        <c:crosses val="autoZero"/>
        <c:crossBetween val="midCat"/>
      </c:valAx>
      <c:valAx>
        <c:axId val="63147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468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431063</xdr:colOff>
      <xdr:row>5</xdr:row>
      <xdr:rowOff>130966</xdr:rowOff>
    </xdr:from>
    <xdr:to>
      <xdr:col>48</xdr:col>
      <xdr:colOff>31294</xdr:colOff>
      <xdr:row>19</xdr:row>
      <xdr:rowOff>125053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5F16CD-0D10-4115-895C-82D0B03DF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For%20Zeewaqar.xlsx" TargetMode="External"/><Relationship Id="rId1" Type="http://schemas.openxmlformats.org/officeDocument/2006/relationships/externalLinkPath" Target="For%20Zeewaqa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Results%20-%20Danish%20(scenarios).xlsx" TargetMode="External"/><Relationship Id="rId1" Type="http://schemas.openxmlformats.org/officeDocument/2006/relationships/externalLinkPath" Target="Results%20-%20Danish%20(scenario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n"/>
      <sheetName val="For analysis"/>
    </sheetNames>
    <sheetDataSet>
      <sheetData sheetId="0">
        <row r="8">
          <cell r="G8" t="str">
            <v>y</v>
          </cell>
        </row>
        <row r="9">
          <cell r="F9">
            <v>0</v>
          </cell>
          <cell r="G9">
            <v>0</v>
          </cell>
        </row>
        <row r="10">
          <cell r="F10">
            <v>-22</v>
          </cell>
          <cell r="G10">
            <v>10</v>
          </cell>
        </row>
        <row r="11">
          <cell r="F11">
            <v>-20</v>
          </cell>
          <cell r="G11">
            <v>10</v>
          </cell>
        </row>
        <row r="12">
          <cell r="F12">
            <v>-16</v>
          </cell>
          <cell r="G12">
            <v>10</v>
          </cell>
        </row>
        <row r="13">
          <cell r="F13">
            <v>-14</v>
          </cell>
          <cell r="G13">
            <v>10</v>
          </cell>
        </row>
        <row r="14">
          <cell r="F14">
            <v>-10</v>
          </cell>
          <cell r="G14">
            <v>10</v>
          </cell>
        </row>
        <row r="15">
          <cell r="F15">
            <v>10</v>
          </cell>
          <cell r="G15">
            <v>10</v>
          </cell>
        </row>
        <row r="16">
          <cell r="F16">
            <v>14</v>
          </cell>
          <cell r="G16">
            <v>10</v>
          </cell>
        </row>
        <row r="17">
          <cell r="F17">
            <v>16</v>
          </cell>
          <cell r="G17">
            <v>10</v>
          </cell>
        </row>
        <row r="18">
          <cell r="F18">
            <v>20</v>
          </cell>
          <cell r="G18">
            <v>10</v>
          </cell>
        </row>
        <row r="19">
          <cell r="F19">
            <v>22</v>
          </cell>
          <cell r="G19">
            <v>10</v>
          </cell>
        </row>
        <row r="20">
          <cell r="F20">
            <v>-22</v>
          </cell>
          <cell r="G20">
            <v>20</v>
          </cell>
        </row>
        <row r="21">
          <cell r="F21">
            <v>-20</v>
          </cell>
          <cell r="G21">
            <v>20</v>
          </cell>
        </row>
        <row r="22">
          <cell r="F22">
            <v>-16</v>
          </cell>
          <cell r="G22">
            <v>20</v>
          </cell>
        </row>
        <row r="23">
          <cell r="F23">
            <v>-14</v>
          </cell>
          <cell r="G23">
            <v>20</v>
          </cell>
        </row>
        <row r="24">
          <cell r="F24">
            <v>-10</v>
          </cell>
          <cell r="G24">
            <v>20</v>
          </cell>
        </row>
        <row r="25">
          <cell r="F25">
            <v>10</v>
          </cell>
          <cell r="G25">
            <v>20</v>
          </cell>
        </row>
        <row r="26">
          <cell r="F26">
            <v>14</v>
          </cell>
          <cell r="G26">
            <v>20</v>
          </cell>
        </row>
        <row r="27">
          <cell r="F27">
            <v>16</v>
          </cell>
          <cell r="G27">
            <v>20</v>
          </cell>
        </row>
        <row r="28">
          <cell r="F28">
            <v>20</v>
          </cell>
          <cell r="G28">
            <v>20</v>
          </cell>
        </row>
        <row r="29">
          <cell r="F29">
            <v>22</v>
          </cell>
          <cell r="G29">
            <v>20</v>
          </cell>
        </row>
        <row r="30">
          <cell r="F30">
            <v>-22</v>
          </cell>
          <cell r="G30">
            <v>30</v>
          </cell>
        </row>
        <row r="31">
          <cell r="F31">
            <v>-20</v>
          </cell>
          <cell r="G31">
            <v>30</v>
          </cell>
        </row>
        <row r="32">
          <cell r="F32">
            <v>-16</v>
          </cell>
          <cell r="G32">
            <v>30</v>
          </cell>
        </row>
        <row r="33">
          <cell r="F33">
            <v>-14</v>
          </cell>
          <cell r="G33">
            <v>30</v>
          </cell>
        </row>
        <row r="34">
          <cell r="F34">
            <v>-10</v>
          </cell>
          <cell r="G34">
            <v>30</v>
          </cell>
        </row>
        <row r="35">
          <cell r="F35">
            <v>20</v>
          </cell>
          <cell r="G35">
            <v>32</v>
          </cell>
        </row>
        <row r="36">
          <cell r="F36">
            <v>14</v>
          </cell>
          <cell r="G36">
            <v>30</v>
          </cell>
        </row>
        <row r="37">
          <cell r="F37">
            <v>16</v>
          </cell>
          <cell r="G37">
            <v>30</v>
          </cell>
        </row>
        <row r="38">
          <cell r="F38">
            <v>20</v>
          </cell>
          <cell r="G38">
            <v>30</v>
          </cell>
        </row>
        <row r="39">
          <cell r="F39">
            <v>22</v>
          </cell>
          <cell r="G39">
            <v>30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 scenarios Updated"/>
      <sheetName val="Sheet4 (2)"/>
      <sheetName val="Sheet4"/>
      <sheetName val="Results (3 scenarios)"/>
      <sheetName val="Max"/>
      <sheetName val="Min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8">
          <cell r="BF28">
            <v>12313.80085623326</v>
          </cell>
        </row>
      </sheetData>
      <sheetData sheetId="5">
        <row r="8">
          <cell r="G8" t="str">
            <v>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FD6EE-F0F5-44E4-B221-7195CE2CF0F2}">
  <dimension ref="D1:DF301"/>
  <sheetViews>
    <sheetView showGridLines="0" zoomScale="46" zoomScaleNormal="89" workbookViewId="0">
      <selection activeCell="I135" sqref="I135:AM135"/>
    </sheetView>
  </sheetViews>
  <sheetFormatPr defaultRowHeight="15" x14ac:dyDescent="0.25"/>
  <cols>
    <col min="1" max="1" width="16" customWidth="1"/>
    <col min="3" max="3" width="14.7109375" customWidth="1"/>
    <col min="4" max="4" width="15.5703125" style="58" customWidth="1"/>
    <col min="5" max="5" width="14.140625" style="59" customWidth="1"/>
    <col min="6" max="6" width="9.85546875" style="59" customWidth="1"/>
    <col min="7" max="7" width="10" style="59" customWidth="1"/>
    <col min="8" max="8" width="15" customWidth="1"/>
    <col min="9" max="9" width="15.140625" customWidth="1"/>
    <col min="10" max="10" width="12.5703125" customWidth="1"/>
    <col min="11" max="11" width="11.7109375" customWidth="1"/>
    <col min="12" max="12" width="14.42578125" customWidth="1"/>
    <col min="13" max="13" width="13.42578125" customWidth="1"/>
    <col min="14" max="14" width="14.28515625" customWidth="1"/>
    <col min="15" max="37" width="11.7109375" customWidth="1"/>
    <col min="38" max="38" width="12.140625" customWidth="1"/>
    <col min="39" max="39" width="11.7109375" customWidth="1"/>
    <col min="40" max="41" width="11.7109375" style="59" customWidth="1"/>
    <col min="42" max="44" width="11.7109375" customWidth="1"/>
    <col min="45" max="45" width="25.85546875" customWidth="1"/>
    <col min="57" max="57" width="25.42578125" customWidth="1"/>
    <col min="62" max="62" width="9.7109375" bestFit="1" customWidth="1"/>
    <col min="64" max="64" width="14.85546875" bestFit="1" customWidth="1"/>
  </cols>
  <sheetData>
    <row r="1" spans="4:110" x14ac:dyDescent="0.25">
      <c r="N1" s="60" t="s">
        <v>30</v>
      </c>
      <c r="O1" s="61"/>
      <c r="P1" s="61"/>
      <c r="Q1" s="61"/>
      <c r="R1" s="61"/>
      <c r="S1" s="61"/>
      <c r="T1" s="62"/>
    </row>
    <row r="2" spans="4:110" ht="15.75" thickBot="1" x14ac:dyDescent="0.3">
      <c r="N2" s="63"/>
      <c r="O2" s="64"/>
      <c r="P2" s="64"/>
      <c r="Q2" s="64"/>
      <c r="R2" s="64"/>
      <c r="S2" s="64"/>
      <c r="T2" s="65"/>
    </row>
    <row r="4" spans="4:110" s="59" customFormat="1" x14ac:dyDescent="0.25">
      <c r="D4" s="58"/>
      <c r="H4" s="66" t="s">
        <v>31</v>
      </c>
      <c r="I4" s="67" t="s">
        <v>32</v>
      </c>
      <c r="J4" s="67" t="s">
        <v>33</v>
      </c>
      <c r="K4" s="67" t="s">
        <v>34</v>
      </c>
      <c r="L4" s="67" t="s">
        <v>35</v>
      </c>
      <c r="M4" s="67" t="s">
        <v>36</v>
      </c>
      <c r="N4" s="67" t="s">
        <v>37</v>
      </c>
      <c r="O4" s="67" t="s">
        <v>38</v>
      </c>
      <c r="P4" s="67" t="s">
        <v>39</v>
      </c>
      <c r="Q4" s="67" t="s">
        <v>40</v>
      </c>
      <c r="R4" s="67" t="s">
        <v>41</v>
      </c>
      <c r="S4" s="67" t="s">
        <v>42</v>
      </c>
      <c r="T4" s="67" t="s">
        <v>43</v>
      </c>
      <c r="U4" s="67" t="s">
        <v>44</v>
      </c>
      <c r="V4" s="67" t="s">
        <v>45</v>
      </c>
      <c r="W4" s="67" t="s">
        <v>46</v>
      </c>
      <c r="X4" s="67" t="s">
        <v>47</v>
      </c>
      <c r="Y4" s="67" t="s">
        <v>48</v>
      </c>
      <c r="Z4" s="67" t="s">
        <v>49</v>
      </c>
      <c r="AA4" s="67" t="s">
        <v>50</v>
      </c>
      <c r="AB4" s="67" t="s">
        <v>51</v>
      </c>
      <c r="AC4" s="67" t="s">
        <v>52</v>
      </c>
      <c r="AD4" s="67" t="s">
        <v>53</v>
      </c>
      <c r="AE4" s="67" t="s">
        <v>54</v>
      </c>
      <c r="AF4" s="67" t="s">
        <v>55</v>
      </c>
      <c r="AG4" s="67" t="s">
        <v>56</v>
      </c>
      <c r="AH4" s="67" t="s">
        <v>57</v>
      </c>
      <c r="AI4" s="67" t="s">
        <v>58</v>
      </c>
      <c r="AJ4" s="67" t="s">
        <v>59</v>
      </c>
      <c r="AK4" s="67" t="s">
        <v>60</v>
      </c>
      <c r="AL4" s="67" t="s">
        <v>61</v>
      </c>
      <c r="AM4" s="67" t="s">
        <v>62</v>
      </c>
      <c r="AY4" s="68"/>
    </row>
    <row r="5" spans="4:110" s="59" customFormat="1" x14ac:dyDescent="0.25">
      <c r="D5" s="58"/>
      <c r="H5" s="69" t="s">
        <v>63</v>
      </c>
      <c r="I5" s="70">
        <v>1</v>
      </c>
      <c r="J5" s="70">
        <v>2</v>
      </c>
      <c r="K5" s="70">
        <v>3</v>
      </c>
      <c r="L5" s="70">
        <v>4</v>
      </c>
      <c r="M5" s="70">
        <v>5</v>
      </c>
      <c r="N5" s="70">
        <v>6</v>
      </c>
      <c r="O5" s="70">
        <v>7</v>
      </c>
      <c r="P5" s="70">
        <v>8</v>
      </c>
      <c r="Q5" s="70">
        <v>9</v>
      </c>
      <c r="R5" s="70">
        <v>10</v>
      </c>
      <c r="S5" s="70">
        <v>11</v>
      </c>
      <c r="T5" s="70">
        <v>12</v>
      </c>
      <c r="U5" s="70">
        <v>13</v>
      </c>
      <c r="V5" s="70">
        <v>14</v>
      </c>
      <c r="W5" s="70">
        <v>15</v>
      </c>
      <c r="X5" s="70">
        <v>16</v>
      </c>
      <c r="Y5" s="70">
        <v>17</v>
      </c>
      <c r="Z5" s="70">
        <v>18</v>
      </c>
      <c r="AA5" s="70">
        <v>19</v>
      </c>
      <c r="AB5" s="70">
        <v>20</v>
      </c>
      <c r="AC5" s="70">
        <v>21</v>
      </c>
      <c r="AD5" s="70">
        <v>22</v>
      </c>
      <c r="AE5" s="70">
        <v>23</v>
      </c>
      <c r="AF5" s="70">
        <v>24</v>
      </c>
      <c r="AG5" s="70">
        <v>25</v>
      </c>
      <c r="AH5" s="70">
        <v>26</v>
      </c>
      <c r="AI5" s="70">
        <v>27</v>
      </c>
      <c r="AJ5" s="70">
        <v>28</v>
      </c>
      <c r="AK5" s="70">
        <v>29</v>
      </c>
      <c r="AL5" s="70">
        <v>30</v>
      </c>
      <c r="AM5" s="70">
        <v>31</v>
      </c>
      <c r="AY5" s="68"/>
    </row>
    <row r="6" spans="4:110" s="59" customFormat="1" ht="15.75" thickBot="1" x14ac:dyDescent="0.3">
      <c r="D6" s="58"/>
      <c r="H6" s="69" t="s">
        <v>64</v>
      </c>
      <c r="I6" s="70">
        <f t="shared" ref="I6:AM6" ca="1" si="0">OFFSET($F$8,I5,0)</f>
        <v>0</v>
      </c>
      <c r="J6" s="70">
        <f ca="1">OFFSET($F$8,J5,0)</f>
        <v>-22</v>
      </c>
      <c r="K6" s="70">
        <f t="shared" ca="1" si="0"/>
        <v>-20</v>
      </c>
      <c r="L6" s="70">
        <f t="shared" ca="1" si="0"/>
        <v>-16</v>
      </c>
      <c r="M6" s="70">
        <f t="shared" ca="1" si="0"/>
        <v>-14</v>
      </c>
      <c r="N6" s="70">
        <f t="shared" ca="1" si="0"/>
        <v>-10</v>
      </c>
      <c r="O6" s="70">
        <f t="shared" ca="1" si="0"/>
        <v>10</v>
      </c>
      <c r="P6" s="70">
        <f t="shared" ca="1" si="0"/>
        <v>14</v>
      </c>
      <c r="Q6" s="70">
        <f t="shared" ca="1" si="0"/>
        <v>16</v>
      </c>
      <c r="R6" s="70">
        <f t="shared" ca="1" si="0"/>
        <v>20</v>
      </c>
      <c r="S6" s="70">
        <f t="shared" ca="1" si="0"/>
        <v>22</v>
      </c>
      <c r="T6" s="70">
        <f t="shared" ca="1" si="0"/>
        <v>-22</v>
      </c>
      <c r="U6" s="70">
        <f t="shared" ca="1" si="0"/>
        <v>-20</v>
      </c>
      <c r="V6" s="70">
        <f t="shared" ca="1" si="0"/>
        <v>-16</v>
      </c>
      <c r="W6" s="70">
        <f t="shared" ca="1" si="0"/>
        <v>-14</v>
      </c>
      <c r="X6" s="70">
        <f t="shared" ca="1" si="0"/>
        <v>-10</v>
      </c>
      <c r="Y6" s="70">
        <f t="shared" ca="1" si="0"/>
        <v>10</v>
      </c>
      <c r="Z6" s="70">
        <f t="shared" ca="1" si="0"/>
        <v>14</v>
      </c>
      <c r="AA6" s="70">
        <f t="shared" ca="1" si="0"/>
        <v>16</v>
      </c>
      <c r="AB6" s="70">
        <f t="shared" ca="1" si="0"/>
        <v>20</v>
      </c>
      <c r="AC6" s="70">
        <f t="shared" ca="1" si="0"/>
        <v>22</v>
      </c>
      <c r="AD6" s="70">
        <f t="shared" ca="1" si="0"/>
        <v>-22</v>
      </c>
      <c r="AE6" s="70">
        <f t="shared" ca="1" si="0"/>
        <v>-20</v>
      </c>
      <c r="AF6" s="70">
        <f t="shared" ca="1" si="0"/>
        <v>-16</v>
      </c>
      <c r="AG6" s="70">
        <f t="shared" ca="1" si="0"/>
        <v>-14</v>
      </c>
      <c r="AH6" s="70">
        <f t="shared" ca="1" si="0"/>
        <v>-10</v>
      </c>
      <c r="AI6" s="70">
        <f t="shared" ca="1" si="0"/>
        <v>20</v>
      </c>
      <c r="AJ6" s="70">
        <f t="shared" ca="1" si="0"/>
        <v>14</v>
      </c>
      <c r="AK6" s="70">
        <f t="shared" ca="1" si="0"/>
        <v>16</v>
      </c>
      <c r="AL6" s="70">
        <f t="shared" ca="1" si="0"/>
        <v>20</v>
      </c>
      <c r="AM6" s="70">
        <f t="shared" ca="1" si="0"/>
        <v>22</v>
      </c>
      <c r="AY6" s="68"/>
      <c r="CB6" s="59">
        <f>I9/1.2</f>
        <v>694.44444444444446</v>
      </c>
      <c r="CC6" s="59">
        <f t="shared" ref="CC6:CR14" si="1">J9/1.2</f>
        <v>16.782008296659129</v>
      </c>
      <c r="CD6" s="59">
        <f t="shared" si="1"/>
        <v>15.528249843748542</v>
      </c>
      <c r="CE6" s="59">
        <f t="shared" si="1"/>
        <v>13.102751572300837</v>
      </c>
      <c r="CF6" s="59">
        <f t="shared" si="1"/>
        <v>11.947673982003648</v>
      </c>
      <c r="CG6" s="59">
        <f t="shared" si="1"/>
        <v>9.8209275164798271</v>
      </c>
      <c r="CH6" s="59">
        <f t="shared" si="1"/>
        <v>9.8209275164798271</v>
      </c>
      <c r="CI6" s="59">
        <f t="shared" si="1"/>
        <v>11.947673982003648</v>
      </c>
      <c r="CJ6" s="59">
        <f t="shared" si="1"/>
        <v>13.102751572300837</v>
      </c>
      <c r="CK6" s="59">
        <f t="shared" si="1"/>
        <v>15.528249843748542</v>
      </c>
      <c r="CL6" s="59">
        <f t="shared" si="1"/>
        <v>16.782008296659129</v>
      </c>
      <c r="CM6" s="59">
        <f t="shared" si="1"/>
        <v>20.647317704609037</v>
      </c>
      <c r="CN6" s="59">
        <f t="shared" si="1"/>
        <v>19.641855032959654</v>
      </c>
      <c r="CO6" s="59">
        <f t="shared" si="1"/>
        <v>17.786456215091249</v>
      </c>
      <c r="CP6" s="59">
        <f t="shared" si="1"/>
        <v>16.95354946629681</v>
      </c>
      <c r="CQ6" s="59">
        <f t="shared" si="1"/>
        <v>15.528249843748542</v>
      </c>
      <c r="CR6" s="59">
        <f t="shared" si="1"/>
        <v>15.528249843748542</v>
      </c>
      <c r="CS6" s="59">
        <f t="shared" ref="CR6:DF21" si="2">Z9/1.2</f>
        <v>16.95354946629681</v>
      </c>
      <c r="CT6" s="59">
        <f t="shared" si="2"/>
        <v>17.786456215091249</v>
      </c>
      <c r="CU6" s="59">
        <f t="shared" si="2"/>
        <v>19.641855032959654</v>
      </c>
      <c r="CV6" s="59">
        <f t="shared" si="2"/>
        <v>20.647317704609037</v>
      </c>
      <c r="CW6" s="59">
        <f t="shared" si="2"/>
        <v>25.83482671908094</v>
      </c>
      <c r="CX6" s="59">
        <f t="shared" si="2"/>
        <v>25.038550524055481</v>
      </c>
      <c r="CY6" s="59">
        <f t="shared" si="2"/>
        <v>23.611111111111114</v>
      </c>
      <c r="CZ6" s="59">
        <f t="shared" si="2"/>
        <v>22.990201885065069</v>
      </c>
      <c r="DA6" s="59">
        <f t="shared" si="2"/>
        <v>21.960261528947079</v>
      </c>
      <c r="DB6" s="59">
        <f t="shared" si="2"/>
        <v>26.205503144601675</v>
      </c>
      <c r="DC6" s="59">
        <f t="shared" si="2"/>
        <v>22.990201885065069</v>
      </c>
      <c r="DD6" s="59">
        <f t="shared" si="2"/>
        <v>23.611111111111114</v>
      </c>
      <c r="DE6" s="59">
        <f t="shared" si="2"/>
        <v>25.038550524055481</v>
      </c>
      <c r="DF6" s="59">
        <f t="shared" si="2"/>
        <v>25.83482671908094</v>
      </c>
    </row>
    <row r="7" spans="4:110" s="59" customFormat="1" ht="14.45" customHeight="1" x14ac:dyDescent="0.25">
      <c r="D7" s="58"/>
      <c r="H7" s="69" t="s">
        <v>65</v>
      </c>
      <c r="I7" s="70">
        <f t="shared" ref="I7:AM7" ca="1" si="3">OFFSET($G$8,I5,0)</f>
        <v>0</v>
      </c>
      <c r="J7" s="70">
        <f t="shared" ca="1" si="3"/>
        <v>10</v>
      </c>
      <c r="K7" s="70">
        <f t="shared" ca="1" si="3"/>
        <v>10</v>
      </c>
      <c r="L7" s="70">
        <f t="shared" ca="1" si="3"/>
        <v>10</v>
      </c>
      <c r="M7" s="70">
        <f t="shared" ca="1" si="3"/>
        <v>10</v>
      </c>
      <c r="N7" s="70">
        <f t="shared" ca="1" si="3"/>
        <v>10</v>
      </c>
      <c r="O7" s="70">
        <f t="shared" ca="1" si="3"/>
        <v>10</v>
      </c>
      <c r="P7" s="70">
        <f t="shared" ca="1" si="3"/>
        <v>10</v>
      </c>
      <c r="Q7" s="70">
        <f t="shared" ca="1" si="3"/>
        <v>10</v>
      </c>
      <c r="R7" s="70">
        <f t="shared" ca="1" si="3"/>
        <v>10</v>
      </c>
      <c r="S7" s="70">
        <f t="shared" ca="1" si="3"/>
        <v>10</v>
      </c>
      <c r="T7" s="70">
        <f t="shared" ca="1" si="3"/>
        <v>20</v>
      </c>
      <c r="U7" s="70">
        <f t="shared" ca="1" si="3"/>
        <v>20</v>
      </c>
      <c r="V7" s="70">
        <f t="shared" ca="1" si="3"/>
        <v>20</v>
      </c>
      <c r="W7" s="70">
        <f t="shared" ca="1" si="3"/>
        <v>20</v>
      </c>
      <c r="X7" s="70">
        <f t="shared" ca="1" si="3"/>
        <v>20</v>
      </c>
      <c r="Y7" s="70">
        <f t="shared" ca="1" si="3"/>
        <v>20</v>
      </c>
      <c r="Z7" s="70">
        <f t="shared" ca="1" si="3"/>
        <v>20</v>
      </c>
      <c r="AA7" s="70">
        <f t="shared" ca="1" si="3"/>
        <v>20</v>
      </c>
      <c r="AB7" s="70">
        <f t="shared" ca="1" si="3"/>
        <v>20</v>
      </c>
      <c r="AC7" s="70">
        <f t="shared" ca="1" si="3"/>
        <v>20</v>
      </c>
      <c r="AD7" s="70">
        <f t="shared" ca="1" si="3"/>
        <v>30</v>
      </c>
      <c r="AE7" s="70">
        <f t="shared" ca="1" si="3"/>
        <v>30</v>
      </c>
      <c r="AF7" s="70">
        <f t="shared" ca="1" si="3"/>
        <v>30</v>
      </c>
      <c r="AG7" s="70">
        <f t="shared" ca="1" si="3"/>
        <v>30</v>
      </c>
      <c r="AH7" s="70">
        <f t="shared" ca="1" si="3"/>
        <v>30</v>
      </c>
      <c r="AI7" s="70">
        <f t="shared" ca="1" si="3"/>
        <v>32</v>
      </c>
      <c r="AJ7" s="70">
        <f t="shared" ca="1" si="3"/>
        <v>30</v>
      </c>
      <c r="AK7" s="70">
        <f t="shared" ca="1" si="3"/>
        <v>30</v>
      </c>
      <c r="AL7" s="70">
        <f t="shared" ca="1" si="3"/>
        <v>30</v>
      </c>
      <c r="AM7" s="70">
        <f t="shared" ca="1" si="3"/>
        <v>30</v>
      </c>
      <c r="AY7" s="68"/>
      <c r="BB7" s="71" t="s">
        <v>66</v>
      </c>
      <c r="BC7" s="71"/>
      <c r="BD7" s="71"/>
      <c r="BE7" s="71"/>
      <c r="BF7" s="71"/>
      <c r="BG7" s="71"/>
      <c r="BH7" s="71"/>
      <c r="BI7" s="71"/>
      <c r="BJ7" s="71"/>
      <c r="BN7" s="72" t="s">
        <v>67</v>
      </c>
      <c r="BO7" s="72"/>
      <c r="BP7" s="72"/>
      <c r="BQ7" s="72"/>
      <c r="BR7" s="72"/>
      <c r="BS7" s="72"/>
      <c r="BT7" s="72"/>
      <c r="CB7" s="59">
        <f t="shared" ref="CB7:CQ22" si="4">I10/1.2</f>
        <v>16.782008296659129</v>
      </c>
      <c r="CC7" s="59">
        <f t="shared" si="1"/>
        <v>694.44444444444446</v>
      </c>
      <c r="CD7" s="59">
        <f t="shared" si="1"/>
        <v>1.3888888888888891</v>
      </c>
      <c r="CE7" s="59">
        <f t="shared" si="1"/>
        <v>4.166666666666667</v>
      </c>
      <c r="CF7" s="59">
        <f t="shared" si="1"/>
        <v>5.5555555555555562</v>
      </c>
      <c r="CG7" s="59">
        <f t="shared" si="1"/>
        <v>8.3333333333333339</v>
      </c>
      <c r="CH7" s="59">
        <f t="shared" si="1"/>
        <v>22.222222222222225</v>
      </c>
      <c r="CI7" s="59">
        <f t="shared" si="1"/>
        <v>25</v>
      </c>
      <c r="CJ7" s="59">
        <f t="shared" si="1"/>
        <v>26.388888888888889</v>
      </c>
      <c r="CK7" s="59">
        <f t="shared" si="1"/>
        <v>29.166666666666668</v>
      </c>
      <c r="CL7" s="59">
        <f t="shared" si="1"/>
        <v>30.555555555555561</v>
      </c>
      <c r="CM7" s="59">
        <f t="shared" si="1"/>
        <v>6.9444444444444455</v>
      </c>
      <c r="CN7" s="59">
        <f t="shared" si="1"/>
        <v>7.0819715466566464</v>
      </c>
      <c r="CO7" s="59">
        <f t="shared" si="1"/>
        <v>8.0985442983962521</v>
      </c>
      <c r="CP7" s="59">
        <f t="shared" si="1"/>
        <v>8.8932281075456245</v>
      </c>
      <c r="CQ7" s="59">
        <f t="shared" si="1"/>
        <v>10.847568994314798</v>
      </c>
      <c r="CR7" s="59">
        <f t="shared" si="1"/>
        <v>23.282020297555853</v>
      </c>
      <c r="CS7" s="59">
        <f t="shared" si="2"/>
        <v>25.946585683707511</v>
      </c>
      <c r="CT7" s="59">
        <f t="shared" si="2"/>
        <v>27.287337089428473</v>
      </c>
      <c r="CU7" s="59">
        <f t="shared" si="2"/>
        <v>29.981990479059586</v>
      </c>
      <c r="CV7" s="59">
        <f t="shared" si="2"/>
        <v>31.334761590773553</v>
      </c>
      <c r="CW7" s="59">
        <f t="shared" si="2"/>
        <v>13.888888888888891</v>
      </c>
      <c r="CX7" s="59">
        <f t="shared" si="2"/>
        <v>13.958160584890127</v>
      </c>
      <c r="CY7" s="59">
        <f t="shared" si="2"/>
        <v>14.500425706820209</v>
      </c>
      <c r="CZ7" s="59">
        <f t="shared" si="2"/>
        <v>14.958791130929177</v>
      </c>
      <c r="DA7" s="59">
        <f t="shared" si="2"/>
        <v>16.197088596792504</v>
      </c>
      <c r="DB7" s="59">
        <f t="shared" si="2"/>
        <v>32.925748864249158</v>
      </c>
      <c r="DC7" s="59">
        <f t="shared" si="2"/>
        <v>28.59897261385278</v>
      </c>
      <c r="DD7" s="59">
        <f t="shared" si="2"/>
        <v>29.820709102199846</v>
      </c>
      <c r="DE7" s="59">
        <f t="shared" si="2"/>
        <v>32.304731526702803</v>
      </c>
      <c r="DF7" s="59">
        <f t="shared" si="2"/>
        <v>33.564016593318257</v>
      </c>
    </row>
    <row r="8" spans="4:110" s="59" customFormat="1" ht="14.45" customHeight="1" x14ac:dyDescent="0.25">
      <c r="D8" s="73" t="s">
        <v>31</v>
      </c>
      <c r="E8" s="69" t="s">
        <v>63</v>
      </c>
      <c r="F8" s="69" t="s">
        <v>64</v>
      </c>
      <c r="G8" s="69" t="s">
        <v>65</v>
      </c>
      <c r="H8" s="59" t="s">
        <v>68</v>
      </c>
      <c r="AY8" s="68"/>
      <c r="BB8" s="71"/>
      <c r="BC8" s="71"/>
      <c r="BD8" s="71"/>
      <c r="BE8" s="71"/>
      <c r="BF8" s="71"/>
      <c r="BG8" s="71"/>
      <c r="BH8" s="71"/>
      <c r="BI8" s="71"/>
      <c r="BJ8" s="71"/>
      <c r="BN8" s="74"/>
      <c r="BO8" s="74"/>
      <c r="BP8" s="74"/>
      <c r="BQ8" s="74"/>
      <c r="BR8" s="74"/>
      <c r="BS8" s="74"/>
      <c r="BT8" s="74"/>
      <c r="CB8" s="59">
        <f t="shared" si="4"/>
        <v>15.528249843748542</v>
      </c>
      <c r="CC8" s="59">
        <f t="shared" si="1"/>
        <v>1.3888888888888891</v>
      </c>
      <c r="CD8" s="59">
        <f t="shared" si="1"/>
        <v>694.44444444444446</v>
      </c>
      <c r="CE8" s="59">
        <f t="shared" si="1"/>
        <v>2.7777777777777781</v>
      </c>
      <c r="CF8" s="59">
        <f t="shared" si="1"/>
        <v>4.166666666666667</v>
      </c>
      <c r="CG8" s="59">
        <f t="shared" si="1"/>
        <v>6.9444444444444455</v>
      </c>
      <c r="CH8" s="59">
        <f t="shared" si="1"/>
        <v>20.833333333333336</v>
      </c>
      <c r="CI8" s="59">
        <f t="shared" si="1"/>
        <v>23.611111111111114</v>
      </c>
      <c r="CJ8" s="59">
        <f t="shared" si="1"/>
        <v>25</v>
      </c>
      <c r="CK8" s="59">
        <f t="shared" si="1"/>
        <v>27.777777777777782</v>
      </c>
      <c r="CL8" s="59">
        <f t="shared" si="1"/>
        <v>29.166666666666668</v>
      </c>
      <c r="CM8" s="59">
        <f t="shared" si="1"/>
        <v>7.0819715466566464</v>
      </c>
      <c r="CN8" s="59">
        <f t="shared" si="1"/>
        <v>6.9444444444444455</v>
      </c>
      <c r="CO8" s="59">
        <f t="shared" si="1"/>
        <v>7.4793955654645883</v>
      </c>
      <c r="CP8" s="59">
        <f t="shared" si="1"/>
        <v>8.0985442983962521</v>
      </c>
      <c r="CQ8" s="59">
        <f t="shared" si="1"/>
        <v>9.8209275164798271</v>
      </c>
      <c r="CR8" s="59">
        <f t="shared" si="1"/>
        <v>21.960261528947079</v>
      </c>
      <c r="CS8" s="59">
        <f t="shared" si="2"/>
        <v>24.611173814818542</v>
      </c>
      <c r="CT8" s="59">
        <f t="shared" si="2"/>
        <v>25.946585683707511</v>
      </c>
      <c r="CU8" s="59">
        <f t="shared" si="2"/>
        <v>28.632677955678201</v>
      </c>
      <c r="CV8" s="59">
        <f t="shared" si="2"/>
        <v>29.981990479059586</v>
      </c>
      <c r="CW8" s="59">
        <f t="shared" si="2"/>
        <v>13.958160584890127</v>
      </c>
      <c r="CX8" s="59">
        <f t="shared" si="2"/>
        <v>13.888888888888891</v>
      </c>
      <c r="CY8" s="59">
        <f t="shared" si="2"/>
        <v>14.163943093313293</v>
      </c>
      <c r="CZ8" s="59">
        <f t="shared" si="2"/>
        <v>14.500425706820209</v>
      </c>
      <c r="DA8" s="59">
        <f t="shared" si="2"/>
        <v>15.528249843748542</v>
      </c>
      <c r="DB8" s="59">
        <f t="shared" si="2"/>
        <v>31.701978362537023</v>
      </c>
      <c r="DC8" s="59">
        <f t="shared" si="2"/>
        <v>27.393170726827812</v>
      </c>
      <c r="DD8" s="59">
        <f t="shared" si="2"/>
        <v>28.59897261385278</v>
      </c>
      <c r="DE8" s="59">
        <f t="shared" si="2"/>
        <v>31.056499687497084</v>
      </c>
      <c r="DF8" s="59">
        <f t="shared" si="2"/>
        <v>32.304731526702803</v>
      </c>
    </row>
    <row r="9" spans="4:110" ht="14.45" customHeight="1" x14ac:dyDescent="0.25">
      <c r="D9" s="75" t="s">
        <v>32</v>
      </c>
      <c r="E9" s="70">
        <v>1</v>
      </c>
      <c r="F9" s="70">
        <v>0</v>
      </c>
      <c r="G9" s="70">
        <v>0</v>
      </c>
      <c r="I9" s="76">
        <v>833.33333333333337</v>
      </c>
      <c r="J9" s="76">
        <v>20.138409955990955</v>
      </c>
      <c r="K9" s="76">
        <v>18.63389981249825</v>
      </c>
      <c r="L9" s="76">
        <v>15.723301886761005</v>
      </c>
      <c r="M9" s="76">
        <v>14.337208778404378</v>
      </c>
      <c r="N9" s="76">
        <v>11.785113019775793</v>
      </c>
      <c r="O9" s="76">
        <v>11.785113019775793</v>
      </c>
      <c r="P9" s="76">
        <v>14.337208778404378</v>
      </c>
      <c r="Q9" s="76">
        <v>15.723301886761005</v>
      </c>
      <c r="R9" s="76">
        <v>18.63389981249825</v>
      </c>
      <c r="S9" s="76">
        <v>20.138409955990955</v>
      </c>
      <c r="T9" s="76">
        <v>24.776781245530845</v>
      </c>
      <c r="U9" s="76">
        <v>23.570226039551585</v>
      </c>
      <c r="V9" s="76">
        <v>21.343747458109497</v>
      </c>
      <c r="W9" s="76">
        <v>20.344259359556172</v>
      </c>
      <c r="X9" s="76">
        <v>18.63389981249825</v>
      </c>
      <c r="Y9" s="76">
        <v>18.63389981249825</v>
      </c>
      <c r="Z9" s="76">
        <v>20.344259359556172</v>
      </c>
      <c r="AA9" s="76">
        <v>21.343747458109497</v>
      </c>
      <c r="AB9" s="76">
        <v>23.570226039551585</v>
      </c>
      <c r="AC9" s="76">
        <v>24.776781245530845</v>
      </c>
      <c r="AD9" s="76">
        <v>31.001792062897128</v>
      </c>
      <c r="AE9" s="76">
        <v>30.046260628866577</v>
      </c>
      <c r="AF9" s="76">
        <v>28.333333333333336</v>
      </c>
      <c r="AG9" s="76">
        <v>27.588242262078083</v>
      </c>
      <c r="AH9" s="76">
        <v>26.352313834736496</v>
      </c>
      <c r="AI9" s="76">
        <v>31.446603773522011</v>
      </c>
      <c r="AJ9" s="76">
        <v>27.588242262078083</v>
      </c>
      <c r="AK9" s="76">
        <v>28.333333333333336</v>
      </c>
      <c r="AL9" s="76">
        <v>30.046260628866577</v>
      </c>
      <c r="AM9" s="76">
        <v>31.001792062897128</v>
      </c>
      <c r="AY9" s="77"/>
      <c r="BB9" s="71"/>
      <c r="BC9" s="71"/>
      <c r="BD9" s="71"/>
      <c r="BE9" s="71"/>
      <c r="BF9" s="71"/>
      <c r="BG9" s="71"/>
      <c r="BH9" s="71"/>
      <c r="BI9" s="71"/>
      <c r="BJ9" s="71"/>
      <c r="BN9" s="74"/>
      <c r="BO9" s="74"/>
      <c r="BP9" s="74"/>
      <c r="BQ9" s="74"/>
      <c r="BR9" s="74"/>
      <c r="BS9" s="74"/>
      <c r="BT9" s="74"/>
      <c r="CB9" s="59">
        <f t="shared" si="4"/>
        <v>13.102751572300837</v>
      </c>
      <c r="CC9" s="59">
        <f t="shared" si="1"/>
        <v>4.166666666666667</v>
      </c>
      <c r="CD9" s="59">
        <f t="shared" si="1"/>
        <v>2.7777777777777781</v>
      </c>
      <c r="CE9" s="59">
        <f t="shared" si="1"/>
        <v>694.44444444444446</v>
      </c>
      <c r="CF9" s="59">
        <f t="shared" si="1"/>
        <v>1.3888888888888891</v>
      </c>
      <c r="CG9" s="59">
        <f t="shared" si="1"/>
        <v>4.166666666666667</v>
      </c>
      <c r="CH9" s="59">
        <f t="shared" si="1"/>
        <v>18.055555555555557</v>
      </c>
      <c r="CI9" s="59">
        <f t="shared" si="1"/>
        <v>20.833333333333336</v>
      </c>
      <c r="CJ9" s="59">
        <f t="shared" si="1"/>
        <v>22.222222222222225</v>
      </c>
      <c r="CK9" s="59">
        <f t="shared" si="1"/>
        <v>25</v>
      </c>
      <c r="CL9" s="59">
        <f t="shared" si="1"/>
        <v>26.388888888888889</v>
      </c>
      <c r="CM9" s="59">
        <f t="shared" si="1"/>
        <v>8.0985442983962521</v>
      </c>
      <c r="CN9" s="59">
        <f t="shared" si="1"/>
        <v>7.4793955654645883</v>
      </c>
      <c r="CO9" s="59">
        <f t="shared" si="1"/>
        <v>6.9444444444444455</v>
      </c>
      <c r="CP9" s="59">
        <f t="shared" si="1"/>
        <v>7.0819715466566464</v>
      </c>
      <c r="CQ9" s="59">
        <f t="shared" si="1"/>
        <v>8.0985442983962521</v>
      </c>
      <c r="CR9" s="59">
        <f t="shared" si="1"/>
        <v>19.34498371831128</v>
      </c>
      <c r="CS9" s="59">
        <f t="shared" si="2"/>
        <v>21.960261528947079</v>
      </c>
      <c r="CT9" s="59">
        <f t="shared" si="2"/>
        <v>23.282020297555853</v>
      </c>
      <c r="CU9" s="59">
        <f t="shared" si="2"/>
        <v>25.946585683707511</v>
      </c>
      <c r="CV9" s="59">
        <f t="shared" si="2"/>
        <v>27.287337089428473</v>
      </c>
      <c r="CW9" s="59">
        <f t="shared" si="2"/>
        <v>14.500425706820209</v>
      </c>
      <c r="CX9" s="59">
        <f t="shared" si="2"/>
        <v>14.163943093313293</v>
      </c>
      <c r="CY9" s="59">
        <f t="shared" si="2"/>
        <v>13.888888888888891</v>
      </c>
      <c r="CZ9" s="59">
        <f t="shared" si="2"/>
        <v>13.958160584890127</v>
      </c>
      <c r="DA9" s="59">
        <f t="shared" si="2"/>
        <v>14.500425706820209</v>
      </c>
      <c r="DB9" s="59">
        <f t="shared" si="2"/>
        <v>29.298643207956932</v>
      </c>
      <c r="DC9" s="59">
        <f t="shared" si="2"/>
        <v>25.038550524055481</v>
      </c>
      <c r="DD9" s="59">
        <f t="shared" si="2"/>
        <v>26.205503144601675</v>
      </c>
      <c r="DE9" s="59">
        <f t="shared" si="2"/>
        <v>28.59897261385278</v>
      </c>
      <c r="DF9" s="59">
        <f t="shared" si="2"/>
        <v>29.820709102199846</v>
      </c>
    </row>
    <row r="10" spans="4:110" ht="15" customHeight="1" x14ac:dyDescent="0.25">
      <c r="D10" s="75" t="s">
        <v>33</v>
      </c>
      <c r="E10" s="70">
        <v>2</v>
      </c>
      <c r="F10" s="70">
        <v>-22</v>
      </c>
      <c r="G10" s="70">
        <v>10</v>
      </c>
      <c r="I10" s="76">
        <v>20.138409955990955</v>
      </c>
      <c r="J10" s="76">
        <v>833.33333333333337</v>
      </c>
      <c r="K10" s="76">
        <v>1.6666666666666667</v>
      </c>
      <c r="L10" s="76">
        <v>5</v>
      </c>
      <c r="M10" s="76">
        <v>6.666666666666667</v>
      </c>
      <c r="N10" s="76">
        <v>10</v>
      </c>
      <c r="O10" s="76">
        <v>26.666666666666668</v>
      </c>
      <c r="P10" s="76">
        <v>30</v>
      </c>
      <c r="Q10" s="76">
        <v>31.666666666666668</v>
      </c>
      <c r="R10" s="76">
        <v>35</v>
      </c>
      <c r="S10" s="76">
        <v>36.666666666666671</v>
      </c>
      <c r="T10" s="76">
        <v>8.3333333333333339</v>
      </c>
      <c r="U10" s="76">
        <v>8.4983658559879753</v>
      </c>
      <c r="V10" s="76">
        <v>9.7182531580755018</v>
      </c>
      <c r="W10" s="76">
        <v>10.671873729054749</v>
      </c>
      <c r="X10" s="76">
        <v>13.017082793177757</v>
      </c>
      <c r="Y10" s="76">
        <v>27.938424357067021</v>
      </c>
      <c r="Z10" s="76">
        <v>31.135902820449012</v>
      </c>
      <c r="AA10" s="76">
        <v>32.744804507314164</v>
      </c>
      <c r="AB10" s="76">
        <v>35.978388574871502</v>
      </c>
      <c r="AC10" s="76">
        <v>37.601713908928261</v>
      </c>
      <c r="AD10" s="76">
        <v>16.666666666666668</v>
      </c>
      <c r="AE10" s="76">
        <v>16.749792701868152</v>
      </c>
      <c r="AF10" s="76">
        <v>17.400510848184251</v>
      </c>
      <c r="AG10" s="76">
        <v>17.950549357115012</v>
      </c>
      <c r="AH10" s="76">
        <v>19.436506316151004</v>
      </c>
      <c r="AI10" s="76">
        <v>39.51089863709899</v>
      </c>
      <c r="AJ10" s="76">
        <v>34.318767136623336</v>
      </c>
      <c r="AK10" s="76">
        <v>35.784850922639812</v>
      </c>
      <c r="AL10" s="76">
        <v>38.765677832043359</v>
      </c>
      <c r="AM10" s="76">
        <v>40.27681991198191</v>
      </c>
      <c r="AY10" s="77"/>
      <c r="BN10" s="74"/>
      <c r="BO10" s="74"/>
      <c r="BP10" s="74"/>
      <c r="BQ10" s="74"/>
      <c r="BR10" s="74"/>
      <c r="BS10" s="74"/>
      <c r="BT10" s="74"/>
      <c r="CB10" s="59">
        <f t="shared" si="4"/>
        <v>11.947673982003648</v>
      </c>
      <c r="CC10" s="59">
        <f t="shared" si="1"/>
        <v>5.5555555555555562</v>
      </c>
      <c r="CD10" s="59">
        <f t="shared" si="1"/>
        <v>4.166666666666667</v>
      </c>
      <c r="CE10" s="59">
        <f t="shared" si="1"/>
        <v>1.3888888888888891</v>
      </c>
      <c r="CF10" s="59">
        <f t="shared" si="1"/>
        <v>694.44444444444446</v>
      </c>
      <c r="CG10" s="59">
        <f t="shared" si="1"/>
        <v>2.7777777777777781</v>
      </c>
      <c r="CH10" s="59">
        <f t="shared" si="1"/>
        <v>16.666666666666668</v>
      </c>
      <c r="CI10" s="59">
        <f t="shared" si="1"/>
        <v>19.444444444444446</v>
      </c>
      <c r="CJ10" s="59">
        <f t="shared" si="1"/>
        <v>20.833333333333336</v>
      </c>
      <c r="CK10" s="59">
        <f t="shared" si="1"/>
        <v>23.611111111111114</v>
      </c>
      <c r="CL10" s="59">
        <f t="shared" si="1"/>
        <v>25</v>
      </c>
      <c r="CM10" s="59">
        <f t="shared" si="1"/>
        <v>8.8932281075456245</v>
      </c>
      <c r="CN10" s="59">
        <f t="shared" si="1"/>
        <v>8.0985442983962521</v>
      </c>
      <c r="CO10" s="59">
        <f t="shared" si="1"/>
        <v>7.0819715466566464</v>
      </c>
      <c r="CP10" s="59">
        <f t="shared" si="1"/>
        <v>6.9444444444444455</v>
      </c>
      <c r="CQ10" s="59">
        <f t="shared" si="1"/>
        <v>7.4793955654645883</v>
      </c>
      <c r="CR10" s="59">
        <f t="shared" si="1"/>
        <v>18.055555555555557</v>
      </c>
      <c r="CS10" s="59">
        <f t="shared" si="2"/>
        <v>20.647317704609037</v>
      </c>
      <c r="CT10" s="59">
        <f t="shared" si="2"/>
        <v>21.960261528947079</v>
      </c>
      <c r="CU10" s="59">
        <f t="shared" si="2"/>
        <v>24.611173814818542</v>
      </c>
      <c r="CV10" s="59">
        <f t="shared" si="2"/>
        <v>25.946585683707511</v>
      </c>
      <c r="CW10" s="59">
        <f t="shared" si="2"/>
        <v>14.958791130929177</v>
      </c>
      <c r="CX10" s="59">
        <f t="shared" si="2"/>
        <v>14.500425706820209</v>
      </c>
      <c r="CY10" s="59">
        <f t="shared" si="2"/>
        <v>13.958160584890127</v>
      </c>
      <c r="CZ10" s="59">
        <f t="shared" si="2"/>
        <v>13.888888888888891</v>
      </c>
      <c r="DA10" s="59">
        <f t="shared" si="2"/>
        <v>14.163943093313293</v>
      </c>
      <c r="DB10" s="59">
        <f t="shared" si="2"/>
        <v>28.122856571273044</v>
      </c>
      <c r="DC10" s="59">
        <f t="shared" si="2"/>
        <v>23.895347964007296</v>
      </c>
      <c r="DD10" s="59">
        <f t="shared" si="2"/>
        <v>25.038550524055481</v>
      </c>
      <c r="DE10" s="59">
        <f t="shared" si="2"/>
        <v>27.393170726827812</v>
      </c>
      <c r="DF10" s="59">
        <f t="shared" si="2"/>
        <v>28.59897261385278</v>
      </c>
    </row>
    <row r="11" spans="4:110" ht="14.45" customHeight="1" x14ac:dyDescent="0.25">
      <c r="D11" s="75" t="s">
        <v>34</v>
      </c>
      <c r="E11" s="70">
        <v>3</v>
      </c>
      <c r="F11" s="70">
        <v>-20</v>
      </c>
      <c r="G11" s="70">
        <v>10</v>
      </c>
      <c r="I11" s="76">
        <v>18.63389981249825</v>
      </c>
      <c r="J11" s="76">
        <v>1.6666666666666667</v>
      </c>
      <c r="K11" s="76">
        <v>833.33333333333337</v>
      </c>
      <c r="L11" s="76">
        <v>3.3333333333333335</v>
      </c>
      <c r="M11" s="76">
        <v>5</v>
      </c>
      <c r="N11" s="76">
        <v>8.3333333333333339</v>
      </c>
      <c r="O11" s="76">
        <v>25</v>
      </c>
      <c r="P11" s="76">
        <v>28.333333333333336</v>
      </c>
      <c r="Q11" s="76">
        <v>30</v>
      </c>
      <c r="R11" s="76">
        <v>33.333333333333336</v>
      </c>
      <c r="S11" s="76">
        <v>35</v>
      </c>
      <c r="T11" s="76">
        <v>8.4983658559879753</v>
      </c>
      <c r="U11" s="76">
        <v>8.3333333333333339</v>
      </c>
      <c r="V11" s="76">
        <v>8.9752746785575059</v>
      </c>
      <c r="W11" s="76">
        <v>9.7182531580755018</v>
      </c>
      <c r="X11" s="76">
        <v>11.785113019775793</v>
      </c>
      <c r="Y11" s="76">
        <v>26.352313834736496</v>
      </c>
      <c r="Z11" s="76">
        <v>29.53340857778225</v>
      </c>
      <c r="AA11" s="76">
        <v>31.135902820449012</v>
      </c>
      <c r="AB11" s="76">
        <v>34.359213546813841</v>
      </c>
      <c r="AC11" s="76">
        <v>35.978388574871502</v>
      </c>
      <c r="AD11" s="76">
        <v>16.749792701868152</v>
      </c>
      <c r="AE11" s="76">
        <v>16.666666666666668</v>
      </c>
      <c r="AF11" s="76">
        <v>16.996731711975951</v>
      </c>
      <c r="AG11" s="76">
        <v>17.400510848184251</v>
      </c>
      <c r="AH11" s="76">
        <v>18.63389981249825</v>
      </c>
      <c r="AI11" s="76">
        <v>38.042374035044425</v>
      </c>
      <c r="AJ11" s="76">
        <v>32.871804872193373</v>
      </c>
      <c r="AK11" s="76">
        <v>34.318767136623336</v>
      </c>
      <c r="AL11" s="76">
        <v>37.267799624996499</v>
      </c>
      <c r="AM11" s="76">
        <v>38.765677832043359</v>
      </c>
      <c r="AY11" s="77"/>
      <c r="BB11" s="78"/>
      <c r="BC11" s="78"/>
      <c r="BD11" s="78"/>
      <c r="BE11" s="78"/>
      <c r="BF11" s="78"/>
      <c r="BG11" s="78"/>
      <c r="BH11" s="78"/>
      <c r="BN11" s="74"/>
      <c r="BO11" s="74"/>
      <c r="BP11" s="74"/>
      <c r="BQ11" s="74"/>
      <c r="BR11" s="74"/>
      <c r="BS11" s="74"/>
      <c r="BT11" s="74"/>
      <c r="CB11" s="59">
        <f t="shared" si="4"/>
        <v>9.8209275164798271</v>
      </c>
      <c r="CC11" s="59">
        <f t="shared" si="1"/>
        <v>8.3333333333333339</v>
      </c>
      <c r="CD11" s="59">
        <f t="shared" si="1"/>
        <v>6.9444444444444455</v>
      </c>
      <c r="CE11" s="59">
        <f t="shared" si="1"/>
        <v>4.166666666666667</v>
      </c>
      <c r="CF11" s="59">
        <f t="shared" si="1"/>
        <v>2.7777777777777781</v>
      </c>
      <c r="CG11" s="59">
        <f t="shared" si="1"/>
        <v>694.44444444444446</v>
      </c>
      <c r="CH11" s="59">
        <f t="shared" si="1"/>
        <v>13.888888888888891</v>
      </c>
      <c r="CI11" s="59">
        <f t="shared" si="1"/>
        <v>16.666666666666668</v>
      </c>
      <c r="CJ11" s="59">
        <f t="shared" si="1"/>
        <v>18.055555555555557</v>
      </c>
      <c r="CK11" s="59">
        <f t="shared" si="1"/>
        <v>20.833333333333336</v>
      </c>
      <c r="CL11" s="59">
        <f t="shared" si="1"/>
        <v>22.222222222222225</v>
      </c>
      <c r="CM11" s="59">
        <f t="shared" si="1"/>
        <v>10.847568994314798</v>
      </c>
      <c r="CN11" s="59">
        <f t="shared" si="1"/>
        <v>9.8209275164798271</v>
      </c>
      <c r="CO11" s="59">
        <f t="shared" si="1"/>
        <v>8.0985442983962521</v>
      </c>
      <c r="CP11" s="59">
        <f t="shared" si="1"/>
        <v>7.4793955654645883</v>
      </c>
      <c r="CQ11" s="59">
        <f t="shared" si="1"/>
        <v>6.9444444444444455</v>
      </c>
      <c r="CR11" s="59">
        <f t="shared" si="1"/>
        <v>15.528249843748542</v>
      </c>
      <c r="CS11" s="59">
        <f t="shared" si="2"/>
        <v>18.055555555555557</v>
      </c>
      <c r="CT11" s="59">
        <f t="shared" si="2"/>
        <v>19.34498371831128</v>
      </c>
      <c r="CU11" s="59">
        <f t="shared" si="2"/>
        <v>21.960261528947079</v>
      </c>
      <c r="CV11" s="59">
        <f t="shared" si="2"/>
        <v>23.282020297555853</v>
      </c>
      <c r="CW11" s="59">
        <f t="shared" si="2"/>
        <v>16.197088596792504</v>
      </c>
      <c r="CX11" s="59">
        <f t="shared" si="2"/>
        <v>15.528249843748542</v>
      </c>
      <c r="CY11" s="59">
        <f t="shared" si="2"/>
        <v>14.500425706820209</v>
      </c>
      <c r="CZ11" s="59">
        <f t="shared" si="2"/>
        <v>14.163943093313293</v>
      </c>
      <c r="DA11" s="59">
        <f t="shared" si="2"/>
        <v>13.888888888888891</v>
      </c>
      <c r="DB11" s="59">
        <f t="shared" si="2"/>
        <v>25.83482671908094</v>
      </c>
      <c r="DC11" s="59">
        <f t="shared" si="2"/>
        <v>21.695137988629597</v>
      </c>
      <c r="DD11" s="59">
        <f t="shared" si="2"/>
        <v>22.779471481745453</v>
      </c>
      <c r="DE11" s="59">
        <f t="shared" si="2"/>
        <v>25.038550524055481</v>
      </c>
      <c r="DF11" s="59">
        <f t="shared" si="2"/>
        <v>26.205503144601675</v>
      </c>
    </row>
    <row r="12" spans="4:110" ht="14.45" customHeight="1" x14ac:dyDescent="0.25">
      <c r="D12" s="75" t="s">
        <v>35</v>
      </c>
      <c r="E12" s="70">
        <v>4</v>
      </c>
      <c r="F12" s="70">
        <v>-16</v>
      </c>
      <c r="G12" s="70">
        <v>10</v>
      </c>
      <c r="I12" s="76">
        <v>15.723301886761005</v>
      </c>
      <c r="J12" s="76">
        <v>5</v>
      </c>
      <c r="K12" s="76">
        <v>3.3333333333333335</v>
      </c>
      <c r="L12" s="76">
        <v>833.33333333333337</v>
      </c>
      <c r="M12" s="76">
        <v>1.6666666666666667</v>
      </c>
      <c r="N12" s="76">
        <v>5</v>
      </c>
      <c r="O12" s="76">
        <v>21.666666666666668</v>
      </c>
      <c r="P12" s="76">
        <v>25</v>
      </c>
      <c r="Q12" s="76">
        <v>26.666666666666668</v>
      </c>
      <c r="R12" s="76">
        <v>30</v>
      </c>
      <c r="S12" s="76">
        <v>31.666666666666668</v>
      </c>
      <c r="T12" s="76">
        <v>9.7182531580755018</v>
      </c>
      <c r="U12" s="76">
        <v>8.9752746785575059</v>
      </c>
      <c r="V12" s="76">
        <v>8.3333333333333339</v>
      </c>
      <c r="W12" s="76">
        <v>8.4983658559879753</v>
      </c>
      <c r="X12" s="76">
        <v>9.7182531580755018</v>
      </c>
      <c r="Y12" s="76">
        <v>23.213980461973534</v>
      </c>
      <c r="Z12" s="76">
        <v>26.352313834736496</v>
      </c>
      <c r="AA12" s="76">
        <v>27.938424357067021</v>
      </c>
      <c r="AB12" s="76">
        <v>31.135902820449012</v>
      </c>
      <c r="AC12" s="76">
        <v>32.744804507314164</v>
      </c>
      <c r="AD12" s="76">
        <v>17.400510848184251</v>
      </c>
      <c r="AE12" s="76">
        <v>16.996731711975951</v>
      </c>
      <c r="AF12" s="76">
        <v>16.666666666666668</v>
      </c>
      <c r="AG12" s="76">
        <v>16.749792701868152</v>
      </c>
      <c r="AH12" s="76">
        <v>17.400510848184251</v>
      </c>
      <c r="AI12" s="76">
        <v>35.158371849548317</v>
      </c>
      <c r="AJ12" s="76">
        <v>30.046260628866577</v>
      </c>
      <c r="AK12" s="76">
        <v>31.446603773522011</v>
      </c>
      <c r="AL12" s="76">
        <v>34.318767136623336</v>
      </c>
      <c r="AM12" s="76">
        <v>35.784850922639812</v>
      </c>
      <c r="AY12" s="77"/>
      <c r="BB12" s="78"/>
      <c r="BC12" s="78"/>
      <c r="BD12" s="78"/>
      <c r="BE12" s="78"/>
      <c r="BF12" s="78"/>
      <c r="BG12" s="78"/>
      <c r="BH12" s="78"/>
      <c r="BN12" s="74"/>
      <c r="BO12" s="74"/>
      <c r="BP12" s="74"/>
      <c r="BQ12" s="74"/>
      <c r="BR12" s="74"/>
      <c r="BS12" s="74"/>
      <c r="BT12" s="74"/>
      <c r="CB12" s="59">
        <f t="shared" si="4"/>
        <v>9.8209275164798271</v>
      </c>
      <c r="CC12" s="59">
        <f t="shared" si="1"/>
        <v>22.222222222222225</v>
      </c>
      <c r="CD12" s="59">
        <f t="shared" si="1"/>
        <v>20.833333333333336</v>
      </c>
      <c r="CE12" s="59">
        <f t="shared" si="1"/>
        <v>18.055555555555557</v>
      </c>
      <c r="CF12" s="59">
        <f t="shared" si="1"/>
        <v>16.666666666666668</v>
      </c>
      <c r="CG12" s="59">
        <f t="shared" si="1"/>
        <v>13.888888888888891</v>
      </c>
      <c r="CH12" s="59">
        <f t="shared" si="1"/>
        <v>694.44444444444446</v>
      </c>
      <c r="CI12" s="59">
        <f t="shared" si="1"/>
        <v>2.7777777777777781</v>
      </c>
      <c r="CJ12" s="59">
        <f t="shared" si="1"/>
        <v>4.166666666666667</v>
      </c>
      <c r="CK12" s="59">
        <f t="shared" si="1"/>
        <v>6.9444444444444455</v>
      </c>
      <c r="CL12" s="59">
        <f t="shared" si="1"/>
        <v>8.3333333333333339</v>
      </c>
      <c r="CM12" s="59">
        <f t="shared" si="1"/>
        <v>23.282020297555853</v>
      </c>
      <c r="CN12" s="59">
        <f t="shared" si="1"/>
        <v>21.960261528947079</v>
      </c>
      <c r="CO12" s="59">
        <f t="shared" si="1"/>
        <v>19.34498371831128</v>
      </c>
      <c r="CP12" s="59">
        <f t="shared" si="1"/>
        <v>18.055555555555557</v>
      </c>
      <c r="CQ12" s="59">
        <f t="shared" si="1"/>
        <v>15.528249843748542</v>
      </c>
      <c r="CR12" s="59">
        <f t="shared" si="1"/>
        <v>6.9444444444444455</v>
      </c>
      <c r="CS12" s="59">
        <f t="shared" si="2"/>
        <v>7.4793955654645883</v>
      </c>
      <c r="CT12" s="59">
        <f t="shared" si="2"/>
        <v>8.0985442983962521</v>
      </c>
      <c r="CU12" s="59">
        <f t="shared" si="2"/>
        <v>9.8209275164798271</v>
      </c>
      <c r="CV12" s="59">
        <f t="shared" si="2"/>
        <v>10.847568994314798</v>
      </c>
      <c r="CW12" s="59">
        <f t="shared" si="2"/>
        <v>26.205503144601675</v>
      </c>
      <c r="CX12" s="59">
        <f t="shared" si="2"/>
        <v>25.038550524055481</v>
      </c>
      <c r="CY12" s="59">
        <f t="shared" si="2"/>
        <v>22.779471481745453</v>
      </c>
      <c r="CZ12" s="59">
        <f t="shared" si="2"/>
        <v>21.695137988629597</v>
      </c>
      <c r="DA12" s="59">
        <f t="shared" si="2"/>
        <v>19.641855032959654</v>
      </c>
      <c r="DB12" s="59">
        <f t="shared" si="2"/>
        <v>16.782008296659129</v>
      </c>
      <c r="DC12" s="59">
        <f t="shared" si="2"/>
        <v>14.163943093313293</v>
      </c>
      <c r="DD12" s="59">
        <f t="shared" si="2"/>
        <v>14.500425706820209</v>
      </c>
      <c r="DE12" s="59">
        <f t="shared" si="2"/>
        <v>15.528249843748542</v>
      </c>
      <c r="DF12" s="59">
        <f t="shared" si="2"/>
        <v>16.197088596792504</v>
      </c>
    </row>
    <row r="13" spans="4:110" ht="15" customHeight="1" x14ac:dyDescent="0.25">
      <c r="D13" s="75" t="s">
        <v>36</v>
      </c>
      <c r="E13" s="70">
        <v>5</v>
      </c>
      <c r="F13" s="70">
        <v>-14</v>
      </c>
      <c r="G13" s="70">
        <v>10</v>
      </c>
      <c r="I13" s="76">
        <v>14.337208778404378</v>
      </c>
      <c r="J13" s="76">
        <v>6.666666666666667</v>
      </c>
      <c r="K13" s="76">
        <v>5</v>
      </c>
      <c r="L13" s="76">
        <v>1.6666666666666667</v>
      </c>
      <c r="M13" s="76">
        <v>833.33333333333337</v>
      </c>
      <c r="N13" s="76">
        <v>3.3333333333333335</v>
      </c>
      <c r="O13" s="76">
        <v>20</v>
      </c>
      <c r="P13" s="76">
        <v>23.333333333333336</v>
      </c>
      <c r="Q13" s="76">
        <v>25</v>
      </c>
      <c r="R13" s="76">
        <v>28.333333333333336</v>
      </c>
      <c r="S13" s="76">
        <v>30</v>
      </c>
      <c r="T13" s="76">
        <v>10.671873729054749</v>
      </c>
      <c r="U13" s="76">
        <v>9.7182531580755018</v>
      </c>
      <c r="V13" s="76">
        <v>8.4983658559879753</v>
      </c>
      <c r="W13" s="76">
        <v>8.3333333333333339</v>
      </c>
      <c r="X13" s="76">
        <v>8.9752746785575059</v>
      </c>
      <c r="Y13" s="76">
        <v>21.666666666666668</v>
      </c>
      <c r="Z13" s="76">
        <v>24.776781245530845</v>
      </c>
      <c r="AA13" s="76">
        <v>26.352313834736496</v>
      </c>
      <c r="AB13" s="76">
        <v>29.53340857778225</v>
      </c>
      <c r="AC13" s="76">
        <v>31.135902820449012</v>
      </c>
      <c r="AD13" s="76">
        <v>17.950549357115012</v>
      </c>
      <c r="AE13" s="76">
        <v>17.400510848184251</v>
      </c>
      <c r="AF13" s="76">
        <v>16.749792701868152</v>
      </c>
      <c r="AG13" s="76">
        <v>16.666666666666668</v>
      </c>
      <c r="AH13" s="76">
        <v>16.996731711975951</v>
      </c>
      <c r="AI13" s="76">
        <v>33.747427885527649</v>
      </c>
      <c r="AJ13" s="76">
        <v>28.674417556808756</v>
      </c>
      <c r="AK13" s="76">
        <v>30.046260628866577</v>
      </c>
      <c r="AL13" s="76">
        <v>32.871804872193373</v>
      </c>
      <c r="AM13" s="76">
        <v>34.318767136623336</v>
      </c>
      <c r="AY13" s="77"/>
      <c r="BB13" s="79" t="s">
        <v>17</v>
      </c>
      <c r="BC13" s="79"/>
      <c r="BD13" s="79"/>
      <c r="BE13" s="79"/>
      <c r="BF13" s="80">
        <f>SUMPRODUCT(I9:AM39,I55:AM85)</f>
        <v>2173.9570711732558</v>
      </c>
      <c r="BG13" s="80"/>
      <c r="BH13" s="80"/>
      <c r="BI13" s="81" t="s">
        <v>69</v>
      </c>
      <c r="BJ13" s="81"/>
      <c r="BK13" s="81"/>
      <c r="BN13" s="74"/>
      <c r="BO13" s="74"/>
      <c r="BP13" s="74"/>
      <c r="BQ13" s="74"/>
      <c r="BR13" s="74"/>
      <c r="BS13" s="74"/>
      <c r="BT13" s="74"/>
      <c r="CB13" s="59">
        <f t="shared" si="4"/>
        <v>11.947673982003648</v>
      </c>
      <c r="CC13" s="59">
        <f t="shared" si="1"/>
        <v>25</v>
      </c>
      <c r="CD13" s="59">
        <f t="shared" si="1"/>
        <v>23.611111111111114</v>
      </c>
      <c r="CE13" s="59">
        <f t="shared" si="1"/>
        <v>20.833333333333336</v>
      </c>
      <c r="CF13" s="59">
        <f t="shared" si="1"/>
        <v>19.444444444444446</v>
      </c>
      <c r="CG13" s="59">
        <f t="shared" si="1"/>
        <v>16.666666666666668</v>
      </c>
      <c r="CH13" s="59">
        <f t="shared" si="1"/>
        <v>2.7777777777777781</v>
      </c>
      <c r="CI13" s="59">
        <f t="shared" si="1"/>
        <v>694.44444444444446</v>
      </c>
      <c r="CJ13" s="59">
        <f t="shared" si="1"/>
        <v>1.3888888888888891</v>
      </c>
      <c r="CK13" s="59">
        <f t="shared" si="1"/>
        <v>4.166666666666667</v>
      </c>
      <c r="CL13" s="59">
        <f t="shared" si="1"/>
        <v>5.5555555555555562</v>
      </c>
      <c r="CM13" s="59">
        <f t="shared" si="1"/>
        <v>25.946585683707511</v>
      </c>
      <c r="CN13" s="59">
        <f t="shared" si="1"/>
        <v>24.611173814818542</v>
      </c>
      <c r="CO13" s="59">
        <f t="shared" si="1"/>
        <v>21.960261528947079</v>
      </c>
      <c r="CP13" s="59">
        <f t="shared" si="1"/>
        <v>20.647317704609037</v>
      </c>
      <c r="CQ13" s="59">
        <f t="shared" si="1"/>
        <v>18.055555555555557</v>
      </c>
      <c r="CR13" s="59">
        <f t="shared" si="1"/>
        <v>7.4793955654645883</v>
      </c>
      <c r="CS13" s="59">
        <f t="shared" si="2"/>
        <v>6.9444444444444455</v>
      </c>
      <c r="CT13" s="59">
        <f t="shared" si="2"/>
        <v>7.0819715466566464</v>
      </c>
      <c r="CU13" s="59">
        <f t="shared" si="2"/>
        <v>8.0985442983962521</v>
      </c>
      <c r="CV13" s="59">
        <f t="shared" si="2"/>
        <v>8.8932281075456245</v>
      </c>
      <c r="CW13" s="59">
        <f t="shared" si="2"/>
        <v>28.59897261385278</v>
      </c>
      <c r="CX13" s="59">
        <f t="shared" si="2"/>
        <v>27.393170726827812</v>
      </c>
      <c r="CY13" s="59">
        <f t="shared" si="2"/>
        <v>25.038550524055481</v>
      </c>
      <c r="CZ13" s="59">
        <f t="shared" si="2"/>
        <v>23.895347964007296</v>
      </c>
      <c r="DA13" s="59">
        <f t="shared" si="2"/>
        <v>21.695137988629597</v>
      </c>
      <c r="DB13" s="59">
        <f t="shared" si="2"/>
        <v>15.835769793043584</v>
      </c>
      <c r="DC13" s="59">
        <f t="shared" si="2"/>
        <v>13.888888888888891</v>
      </c>
      <c r="DD13" s="59">
        <f t="shared" si="2"/>
        <v>13.958160584890127</v>
      </c>
      <c r="DE13" s="59">
        <f t="shared" si="2"/>
        <v>14.500425706820209</v>
      </c>
      <c r="DF13" s="59">
        <f t="shared" si="2"/>
        <v>14.958791130929177</v>
      </c>
    </row>
    <row r="14" spans="4:110" ht="15" customHeight="1" x14ac:dyDescent="0.25">
      <c r="D14" s="75" t="s">
        <v>37</v>
      </c>
      <c r="E14" s="70">
        <v>6</v>
      </c>
      <c r="F14" s="70">
        <v>-10</v>
      </c>
      <c r="G14" s="70">
        <v>10</v>
      </c>
      <c r="I14" s="76">
        <v>11.785113019775793</v>
      </c>
      <c r="J14" s="76">
        <v>10</v>
      </c>
      <c r="K14" s="76">
        <v>8.3333333333333339</v>
      </c>
      <c r="L14" s="76">
        <v>5</v>
      </c>
      <c r="M14" s="76">
        <v>3.3333333333333335</v>
      </c>
      <c r="N14" s="76">
        <v>833.33333333333337</v>
      </c>
      <c r="O14" s="76">
        <v>16.666666666666668</v>
      </c>
      <c r="P14" s="76">
        <v>20</v>
      </c>
      <c r="Q14" s="76">
        <v>21.666666666666668</v>
      </c>
      <c r="R14" s="76">
        <v>25</v>
      </c>
      <c r="S14" s="76">
        <v>26.666666666666668</v>
      </c>
      <c r="T14" s="76">
        <v>13.017082793177757</v>
      </c>
      <c r="U14" s="76">
        <v>11.785113019775793</v>
      </c>
      <c r="V14" s="76">
        <v>9.7182531580755018</v>
      </c>
      <c r="W14" s="76">
        <v>8.9752746785575059</v>
      </c>
      <c r="X14" s="76">
        <v>8.3333333333333339</v>
      </c>
      <c r="Y14" s="76">
        <v>18.63389981249825</v>
      </c>
      <c r="Z14" s="76">
        <v>21.666666666666668</v>
      </c>
      <c r="AA14" s="76">
        <v>23.213980461973534</v>
      </c>
      <c r="AB14" s="76">
        <v>26.352313834736496</v>
      </c>
      <c r="AC14" s="76">
        <v>27.938424357067021</v>
      </c>
      <c r="AD14" s="76">
        <v>19.436506316151004</v>
      </c>
      <c r="AE14" s="76">
        <v>18.63389981249825</v>
      </c>
      <c r="AF14" s="76">
        <v>17.400510848184251</v>
      </c>
      <c r="AG14" s="76">
        <v>16.996731711975951</v>
      </c>
      <c r="AH14" s="76">
        <v>16.666666666666668</v>
      </c>
      <c r="AI14" s="76">
        <v>31.001792062897128</v>
      </c>
      <c r="AJ14" s="76">
        <v>26.034165586355513</v>
      </c>
      <c r="AK14" s="76">
        <v>27.335365778094545</v>
      </c>
      <c r="AL14" s="76">
        <v>30.046260628866577</v>
      </c>
      <c r="AM14" s="76">
        <v>31.446603773522011</v>
      </c>
      <c r="AY14" s="77"/>
      <c r="BB14" s="79"/>
      <c r="BC14" s="79"/>
      <c r="BD14" s="79"/>
      <c r="BE14" s="79"/>
      <c r="BF14" s="80"/>
      <c r="BG14" s="80"/>
      <c r="BH14" s="80"/>
      <c r="BI14" s="81"/>
      <c r="BJ14" s="81"/>
      <c r="BK14" s="81"/>
      <c r="BN14" s="74"/>
      <c r="BO14" s="74"/>
      <c r="BP14" s="74"/>
      <c r="BQ14" s="74"/>
      <c r="BR14" s="74"/>
      <c r="BS14" s="74"/>
      <c r="BT14" s="74"/>
      <c r="CB14" s="59">
        <f t="shared" si="4"/>
        <v>13.102751572300837</v>
      </c>
      <c r="CC14" s="59">
        <f t="shared" si="1"/>
        <v>26.388888888888889</v>
      </c>
      <c r="CD14" s="59">
        <f t="shared" si="1"/>
        <v>25</v>
      </c>
      <c r="CE14" s="59">
        <f t="shared" si="1"/>
        <v>22.222222222222225</v>
      </c>
      <c r="CF14" s="59">
        <f t="shared" si="1"/>
        <v>20.833333333333336</v>
      </c>
      <c r="CG14" s="59">
        <f t="shared" si="1"/>
        <v>18.055555555555557</v>
      </c>
      <c r="CH14" s="59">
        <f t="shared" si="1"/>
        <v>4.166666666666667</v>
      </c>
      <c r="CI14" s="59">
        <f t="shared" si="1"/>
        <v>1.3888888888888891</v>
      </c>
      <c r="CJ14" s="59">
        <f t="shared" si="1"/>
        <v>694.44444444444446</v>
      </c>
      <c r="CK14" s="59">
        <f t="shared" si="1"/>
        <v>2.7777777777777781</v>
      </c>
      <c r="CL14" s="59">
        <f t="shared" si="1"/>
        <v>4.166666666666667</v>
      </c>
      <c r="CM14" s="59">
        <f t="shared" si="1"/>
        <v>27.287337089428473</v>
      </c>
      <c r="CN14" s="59">
        <f t="shared" si="1"/>
        <v>25.946585683707511</v>
      </c>
      <c r="CO14" s="59">
        <f t="shared" si="1"/>
        <v>23.282020297555853</v>
      </c>
      <c r="CP14" s="59">
        <f t="shared" si="1"/>
        <v>21.960261528947079</v>
      </c>
      <c r="CQ14" s="59">
        <f t="shared" si="1"/>
        <v>19.34498371831128</v>
      </c>
      <c r="CR14" s="59">
        <f t="shared" si="1"/>
        <v>8.0985442983962521</v>
      </c>
      <c r="CS14" s="59">
        <f t="shared" si="2"/>
        <v>7.0819715466566464</v>
      </c>
      <c r="CT14" s="59">
        <f t="shared" si="2"/>
        <v>6.9444444444444455</v>
      </c>
      <c r="CU14" s="59">
        <f t="shared" si="2"/>
        <v>7.4793955654645883</v>
      </c>
      <c r="CV14" s="59">
        <f t="shared" si="2"/>
        <v>8.0985442983962521</v>
      </c>
      <c r="CW14" s="59">
        <f t="shared" si="2"/>
        <v>29.820709102199846</v>
      </c>
      <c r="CX14" s="59">
        <f t="shared" si="2"/>
        <v>28.59897261385278</v>
      </c>
      <c r="CY14" s="59">
        <f t="shared" si="2"/>
        <v>26.205503144601675</v>
      </c>
      <c r="CZ14" s="59">
        <f t="shared" si="2"/>
        <v>25.038550524055481</v>
      </c>
      <c r="DA14" s="59">
        <f t="shared" si="2"/>
        <v>22.779471481745453</v>
      </c>
      <c r="DB14" s="59">
        <f t="shared" si="2"/>
        <v>15.528249843748542</v>
      </c>
      <c r="DC14" s="59">
        <f t="shared" si="2"/>
        <v>13.958160584890127</v>
      </c>
      <c r="DD14" s="59">
        <f t="shared" si="2"/>
        <v>13.888888888888891</v>
      </c>
      <c r="DE14" s="59">
        <f t="shared" si="2"/>
        <v>14.163943093313293</v>
      </c>
      <c r="DF14" s="59">
        <f t="shared" si="2"/>
        <v>14.500425706820209</v>
      </c>
    </row>
    <row r="15" spans="4:110" ht="15" customHeight="1" x14ac:dyDescent="0.25">
      <c r="D15" s="75" t="s">
        <v>38</v>
      </c>
      <c r="E15" s="70">
        <v>7</v>
      </c>
      <c r="F15" s="70">
        <v>10</v>
      </c>
      <c r="G15" s="70">
        <v>10</v>
      </c>
      <c r="I15" s="76">
        <v>11.785113019775793</v>
      </c>
      <c r="J15" s="76">
        <v>26.666666666666668</v>
      </c>
      <c r="K15" s="76">
        <v>25</v>
      </c>
      <c r="L15" s="76">
        <v>21.666666666666668</v>
      </c>
      <c r="M15" s="76">
        <v>20</v>
      </c>
      <c r="N15" s="76">
        <v>16.666666666666668</v>
      </c>
      <c r="O15" s="76">
        <v>833.33333333333337</v>
      </c>
      <c r="P15" s="76">
        <v>3.3333333333333335</v>
      </c>
      <c r="Q15" s="76">
        <v>5</v>
      </c>
      <c r="R15" s="76">
        <v>8.3333333333333339</v>
      </c>
      <c r="S15" s="76">
        <v>10</v>
      </c>
      <c r="T15" s="76">
        <v>27.938424357067021</v>
      </c>
      <c r="U15" s="76">
        <v>26.352313834736496</v>
      </c>
      <c r="V15" s="76">
        <v>23.213980461973534</v>
      </c>
      <c r="W15" s="76">
        <v>21.666666666666668</v>
      </c>
      <c r="X15" s="76">
        <v>18.63389981249825</v>
      </c>
      <c r="Y15" s="76">
        <v>8.3333333333333339</v>
      </c>
      <c r="Z15" s="76">
        <v>8.9752746785575059</v>
      </c>
      <c r="AA15" s="76">
        <v>9.7182531580755018</v>
      </c>
      <c r="AB15" s="76">
        <v>11.785113019775793</v>
      </c>
      <c r="AC15" s="76">
        <v>13.017082793177757</v>
      </c>
      <c r="AD15" s="76">
        <v>31.446603773522011</v>
      </c>
      <c r="AE15" s="76">
        <v>30.046260628866577</v>
      </c>
      <c r="AF15" s="76">
        <v>27.335365778094545</v>
      </c>
      <c r="AG15" s="76">
        <v>26.034165586355513</v>
      </c>
      <c r="AH15" s="76">
        <v>23.570226039551585</v>
      </c>
      <c r="AI15" s="76">
        <v>20.138409955990955</v>
      </c>
      <c r="AJ15" s="76">
        <v>16.996731711975951</v>
      </c>
      <c r="AK15" s="76">
        <v>17.400510848184251</v>
      </c>
      <c r="AL15" s="76">
        <v>18.63389981249825</v>
      </c>
      <c r="AM15" s="76">
        <v>19.436506316151004</v>
      </c>
      <c r="AY15" s="77"/>
      <c r="BB15" s="82" t="s">
        <v>6</v>
      </c>
      <c r="BC15" s="82"/>
      <c r="BD15" s="82"/>
      <c r="BE15" s="82"/>
      <c r="BF15" s="82">
        <f>SUMPRODUCT(I55:AM85,J233:AN263)+AS134</f>
        <v>70919.57071173258</v>
      </c>
      <c r="BG15" s="82"/>
      <c r="BH15" s="82"/>
      <c r="BI15" s="83"/>
      <c r="BJ15" s="81"/>
      <c r="BK15" s="81"/>
      <c r="BN15" s="74"/>
      <c r="BO15" s="74"/>
      <c r="BP15" s="74"/>
      <c r="BQ15" s="74"/>
      <c r="BR15" s="74"/>
      <c r="BS15" s="74"/>
      <c r="BT15" s="74"/>
      <c r="CB15" s="59">
        <f t="shared" si="4"/>
        <v>15.528249843748542</v>
      </c>
      <c r="CC15" s="59">
        <f t="shared" si="4"/>
        <v>29.166666666666668</v>
      </c>
      <c r="CD15" s="59">
        <f t="shared" si="4"/>
        <v>27.777777777777782</v>
      </c>
      <c r="CE15" s="59">
        <f t="shared" si="4"/>
        <v>25</v>
      </c>
      <c r="CF15" s="59">
        <f t="shared" si="4"/>
        <v>23.611111111111114</v>
      </c>
      <c r="CG15" s="59">
        <f t="shared" si="4"/>
        <v>20.833333333333336</v>
      </c>
      <c r="CH15" s="59">
        <f t="shared" si="4"/>
        <v>6.9444444444444455</v>
      </c>
      <c r="CI15" s="59">
        <f t="shared" si="4"/>
        <v>4.166666666666667</v>
      </c>
      <c r="CJ15" s="59">
        <f t="shared" si="4"/>
        <v>2.7777777777777781</v>
      </c>
      <c r="CK15" s="59">
        <f t="shared" si="4"/>
        <v>694.44444444444446</v>
      </c>
      <c r="CL15" s="59">
        <f t="shared" si="4"/>
        <v>1.3888888888888891</v>
      </c>
      <c r="CM15" s="59">
        <f t="shared" si="4"/>
        <v>29.981990479059586</v>
      </c>
      <c r="CN15" s="59">
        <f t="shared" si="4"/>
        <v>28.632677955678201</v>
      </c>
      <c r="CO15" s="59">
        <f t="shared" si="4"/>
        <v>25.946585683707511</v>
      </c>
      <c r="CP15" s="59">
        <f t="shared" si="4"/>
        <v>24.611173814818542</v>
      </c>
      <c r="CQ15" s="59">
        <f t="shared" si="4"/>
        <v>21.960261528947079</v>
      </c>
      <c r="CR15" s="59">
        <f t="shared" si="2"/>
        <v>9.8209275164798271</v>
      </c>
      <c r="CS15" s="59">
        <f t="shared" si="2"/>
        <v>8.0985442983962521</v>
      </c>
      <c r="CT15" s="59">
        <f t="shared" si="2"/>
        <v>7.4793955654645883</v>
      </c>
      <c r="CU15" s="59">
        <f t="shared" si="2"/>
        <v>6.9444444444444455</v>
      </c>
      <c r="CV15" s="59">
        <f t="shared" si="2"/>
        <v>7.0819715466566464</v>
      </c>
      <c r="CW15" s="59">
        <f t="shared" si="2"/>
        <v>32.304731526702803</v>
      </c>
      <c r="CX15" s="59">
        <f t="shared" si="2"/>
        <v>31.056499687497084</v>
      </c>
      <c r="CY15" s="59">
        <f t="shared" si="2"/>
        <v>28.59897261385278</v>
      </c>
      <c r="CZ15" s="59">
        <f t="shared" si="2"/>
        <v>27.393170726827812</v>
      </c>
      <c r="DA15" s="59">
        <f t="shared" si="2"/>
        <v>25.038550524055481</v>
      </c>
      <c r="DB15" s="59">
        <f t="shared" si="2"/>
        <v>15.27777777777778</v>
      </c>
      <c r="DC15" s="59">
        <f t="shared" si="2"/>
        <v>14.500425706820209</v>
      </c>
      <c r="DD15" s="59">
        <f t="shared" si="2"/>
        <v>14.163943093313293</v>
      </c>
      <c r="DE15" s="59">
        <f t="shared" si="2"/>
        <v>13.888888888888891</v>
      </c>
      <c r="DF15" s="59">
        <f t="shared" si="2"/>
        <v>13.958160584890127</v>
      </c>
    </row>
    <row r="16" spans="4:110" ht="15" customHeight="1" x14ac:dyDescent="0.25">
      <c r="D16" s="75" t="s">
        <v>39</v>
      </c>
      <c r="E16" s="70">
        <v>8</v>
      </c>
      <c r="F16" s="70">
        <v>14</v>
      </c>
      <c r="G16" s="70">
        <v>10</v>
      </c>
      <c r="I16" s="76">
        <v>14.337208778404378</v>
      </c>
      <c r="J16" s="76">
        <v>30</v>
      </c>
      <c r="K16" s="76">
        <v>28.333333333333336</v>
      </c>
      <c r="L16" s="76">
        <v>25</v>
      </c>
      <c r="M16" s="76">
        <v>23.333333333333336</v>
      </c>
      <c r="N16" s="76">
        <v>20</v>
      </c>
      <c r="O16" s="76">
        <v>3.3333333333333335</v>
      </c>
      <c r="P16" s="76">
        <v>833.33333333333337</v>
      </c>
      <c r="Q16" s="76">
        <v>1.6666666666666667</v>
      </c>
      <c r="R16" s="76">
        <v>5</v>
      </c>
      <c r="S16" s="76">
        <v>6.666666666666667</v>
      </c>
      <c r="T16" s="76">
        <v>31.135902820449012</v>
      </c>
      <c r="U16" s="76">
        <v>29.53340857778225</v>
      </c>
      <c r="V16" s="76">
        <v>26.352313834736496</v>
      </c>
      <c r="W16" s="76">
        <v>24.776781245530845</v>
      </c>
      <c r="X16" s="76">
        <v>21.666666666666668</v>
      </c>
      <c r="Y16" s="76">
        <v>8.9752746785575059</v>
      </c>
      <c r="Z16" s="76">
        <v>8.3333333333333339</v>
      </c>
      <c r="AA16" s="76">
        <v>8.4983658559879753</v>
      </c>
      <c r="AB16" s="76">
        <v>9.7182531580755018</v>
      </c>
      <c r="AC16" s="76">
        <v>10.671873729054749</v>
      </c>
      <c r="AD16" s="76">
        <v>34.318767136623336</v>
      </c>
      <c r="AE16" s="76">
        <v>32.871804872193373</v>
      </c>
      <c r="AF16" s="76">
        <v>30.046260628866577</v>
      </c>
      <c r="AG16" s="76">
        <v>28.674417556808756</v>
      </c>
      <c r="AH16" s="76">
        <v>26.034165586355513</v>
      </c>
      <c r="AI16" s="76">
        <v>19.0029237516523</v>
      </c>
      <c r="AJ16" s="76">
        <v>16.666666666666668</v>
      </c>
      <c r="AK16" s="76">
        <v>16.749792701868152</v>
      </c>
      <c r="AL16" s="76">
        <v>17.400510848184251</v>
      </c>
      <c r="AM16" s="76">
        <v>17.950549357115012</v>
      </c>
      <c r="AY16" s="77"/>
      <c r="BB16" s="82"/>
      <c r="BC16" s="82"/>
      <c r="BD16" s="82"/>
      <c r="BE16" s="82"/>
      <c r="BF16" s="82"/>
      <c r="BG16" s="82"/>
      <c r="BH16" s="82"/>
      <c r="BI16" s="83"/>
      <c r="BJ16" s="81"/>
      <c r="BK16" s="81"/>
      <c r="CB16" s="59">
        <f t="shared" si="4"/>
        <v>16.782008296659129</v>
      </c>
      <c r="CC16" s="59">
        <f t="shared" si="4"/>
        <v>30.555555555555561</v>
      </c>
      <c r="CD16" s="59">
        <f t="shared" si="4"/>
        <v>29.166666666666668</v>
      </c>
      <c r="CE16" s="59">
        <f t="shared" si="4"/>
        <v>26.388888888888889</v>
      </c>
      <c r="CF16" s="59">
        <f t="shared" si="4"/>
        <v>25</v>
      </c>
      <c r="CG16" s="59">
        <f t="shared" si="4"/>
        <v>22.222222222222225</v>
      </c>
      <c r="CH16" s="59">
        <f t="shared" si="4"/>
        <v>8.3333333333333339</v>
      </c>
      <c r="CI16" s="59">
        <f t="shared" si="4"/>
        <v>5.5555555555555562</v>
      </c>
      <c r="CJ16" s="59">
        <f t="shared" si="4"/>
        <v>4.166666666666667</v>
      </c>
      <c r="CK16" s="59">
        <f t="shared" si="4"/>
        <v>1.3888888888888891</v>
      </c>
      <c r="CL16" s="59">
        <f t="shared" si="4"/>
        <v>694.44444444444446</v>
      </c>
      <c r="CM16" s="59">
        <f t="shared" si="4"/>
        <v>31.334761590773553</v>
      </c>
      <c r="CN16" s="59">
        <f t="shared" si="4"/>
        <v>29.981990479059586</v>
      </c>
      <c r="CO16" s="59">
        <f t="shared" si="4"/>
        <v>27.287337089428473</v>
      </c>
      <c r="CP16" s="59">
        <f t="shared" si="4"/>
        <v>25.946585683707511</v>
      </c>
      <c r="CQ16" s="59">
        <f t="shared" si="4"/>
        <v>23.282020297555853</v>
      </c>
      <c r="CR16" s="59">
        <f t="shared" si="2"/>
        <v>10.847568994314798</v>
      </c>
      <c r="CS16" s="59">
        <f t="shared" si="2"/>
        <v>8.8932281075456245</v>
      </c>
      <c r="CT16" s="59">
        <f t="shared" si="2"/>
        <v>8.0985442983962521</v>
      </c>
      <c r="CU16" s="59">
        <f t="shared" si="2"/>
        <v>7.0819715466566464</v>
      </c>
      <c r="CV16" s="59">
        <f t="shared" si="2"/>
        <v>6.9444444444444455</v>
      </c>
      <c r="CW16" s="59">
        <f t="shared" si="2"/>
        <v>33.564016593318257</v>
      </c>
      <c r="CX16" s="59">
        <f t="shared" si="2"/>
        <v>32.304731526702803</v>
      </c>
      <c r="CY16" s="59">
        <f t="shared" si="2"/>
        <v>29.820709102199846</v>
      </c>
      <c r="CZ16" s="59">
        <f t="shared" si="2"/>
        <v>28.59897261385278</v>
      </c>
      <c r="DA16" s="59">
        <f t="shared" si="2"/>
        <v>26.205503144601675</v>
      </c>
      <c r="DB16" s="59">
        <f t="shared" si="2"/>
        <v>15.340779190537866</v>
      </c>
      <c r="DC16" s="59">
        <f t="shared" si="2"/>
        <v>14.958791130929177</v>
      </c>
      <c r="DD16" s="59">
        <f t="shared" si="2"/>
        <v>14.500425706820209</v>
      </c>
      <c r="DE16" s="59">
        <f t="shared" si="2"/>
        <v>13.958160584890127</v>
      </c>
      <c r="DF16" s="59">
        <f t="shared" si="2"/>
        <v>13.888888888888891</v>
      </c>
    </row>
    <row r="17" spans="4:110" ht="15" customHeight="1" x14ac:dyDescent="0.45">
      <c r="D17" s="75" t="s">
        <v>40</v>
      </c>
      <c r="E17" s="70">
        <v>9</v>
      </c>
      <c r="F17" s="70">
        <v>16</v>
      </c>
      <c r="G17" s="70">
        <v>10</v>
      </c>
      <c r="I17" s="76">
        <v>15.723301886761005</v>
      </c>
      <c r="J17" s="76">
        <v>31.666666666666668</v>
      </c>
      <c r="K17" s="76">
        <v>30</v>
      </c>
      <c r="L17" s="76">
        <v>26.666666666666668</v>
      </c>
      <c r="M17" s="76">
        <v>25</v>
      </c>
      <c r="N17" s="76">
        <v>21.666666666666668</v>
      </c>
      <c r="O17" s="76">
        <v>5</v>
      </c>
      <c r="P17" s="76">
        <v>1.6666666666666667</v>
      </c>
      <c r="Q17" s="76">
        <v>833.33333333333337</v>
      </c>
      <c r="R17" s="76">
        <v>3.3333333333333335</v>
      </c>
      <c r="S17" s="76">
        <v>5</v>
      </c>
      <c r="T17" s="76">
        <v>32.744804507314164</v>
      </c>
      <c r="U17" s="76">
        <v>31.135902820449012</v>
      </c>
      <c r="V17" s="76">
        <v>27.938424357067021</v>
      </c>
      <c r="W17" s="76">
        <v>26.352313834736496</v>
      </c>
      <c r="X17" s="76">
        <v>23.213980461973534</v>
      </c>
      <c r="Y17" s="76">
        <v>9.7182531580755018</v>
      </c>
      <c r="Z17" s="76">
        <v>8.4983658559879753</v>
      </c>
      <c r="AA17" s="76">
        <v>8.3333333333333339</v>
      </c>
      <c r="AB17" s="76">
        <v>8.9752746785575059</v>
      </c>
      <c r="AC17" s="76">
        <v>9.7182531580755018</v>
      </c>
      <c r="AD17" s="76">
        <v>35.784850922639812</v>
      </c>
      <c r="AE17" s="76">
        <v>34.318767136623336</v>
      </c>
      <c r="AF17" s="76">
        <v>31.446603773522011</v>
      </c>
      <c r="AG17" s="76">
        <v>30.046260628866577</v>
      </c>
      <c r="AH17" s="76">
        <v>27.335365778094545</v>
      </c>
      <c r="AI17" s="76">
        <v>18.63389981249825</v>
      </c>
      <c r="AJ17" s="76">
        <v>16.749792701868152</v>
      </c>
      <c r="AK17" s="76">
        <v>16.666666666666668</v>
      </c>
      <c r="AL17" s="76">
        <v>16.996731711975951</v>
      </c>
      <c r="AM17" s="76">
        <v>17.400510848184251</v>
      </c>
      <c r="AY17" s="77"/>
      <c r="BB17" s="84" t="s">
        <v>7</v>
      </c>
      <c r="BC17" s="85"/>
      <c r="BD17" s="85"/>
      <c r="BE17" s="86"/>
      <c r="BF17" s="87">
        <f>BF15/3600</f>
        <v>19.699880753259048</v>
      </c>
      <c r="BG17" s="88"/>
      <c r="BH17" s="89"/>
      <c r="BI17" s="90"/>
      <c r="BJ17" s="90"/>
      <c r="CB17" s="59">
        <f t="shared" si="4"/>
        <v>20.647317704609037</v>
      </c>
      <c r="CC17" s="59">
        <f t="shared" si="4"/>
        <v>6.9444444444444455</v>
      </c>
      <c r="CD17" s="59">
        <f t="shared" si="4"/>
        <v>7.0819715466566464</v>
      </c>
      <c r="CE17" s="59">
        <f t="shared" si="4"/>
        <v>8.0985442983962521</v>
      </c>
      <c r="CF17" s="59">
        <f t="shared" si="4"/>
        <v>8.8932281075456245</v>
      </c>
      <c r="CG17" s="59">
        <f t="shared" si="4"/>
        <v>10.847568994314798</v>
      </c>
      <c r="CH17" s="59">
        <f t="shared" si="4"/>
        <v>23.282020297555853</v>
      </c>
      <c r="CI17" s="59">
        <f t="shared" si="4"/>
        <v>25.946585683707511</v>
      </c>
      <c r="CJ17" s="59">
        <f t="shared" si="4"/>
        <v>27.287337089428473</v>
      </c>
      <c r="CK17" s="59">
        <f t="shared" si="4"/>
        <v>29.981990479059586</v>
      </c>
      <c r="CL17" s="59">
        <f t="shared" si="4"/>
        <v>31.334761590773553</v>
      </c>
      <c r="CM17" s="59">
        <f t="shared" si="4"/>
        <v>694.44444444444446</v>
      </c>
      <c r="CN17" s="59">
        <f t="shared" si="4"/>
        <v>1.3888888888888891</v>
      </c>
      <c r="CO17" s="59">
        <f t="shared" si="4"/>
        <v>4.166666666666667</v>
      </c>
      <c r="CP17" s="59">
        <f t="shared" si="4"/>
        <v>5.5555555555555562</v>
      </c>
      <c r="CQ17" s="59">
        <f t="shared" si="4"/>
        <v>8.3333333333333339</v>
      </c>
      <c r="CR17" s="59">
        <f t="shared" si="2"/>
        <v>22.222222222222225</v>
      </c>
      <c r="CS17" s="59">
        <f t="shared" si="2"/>
        <v>25</v>
      </c>
      <c r="CT17" s="59">
        <f t="shared" si="2"/>
        <v>26.388888888888889</v>
      </c>
      <c r="CU17" s="59">
        <f t="shared" si="2"/>
        <v>29.166666666666668</v>
      </c>
      <c r="CV17" s="59">
        <f t="shared" si="2"/>
        <v>30.555555555555561</v>
      </c>
      <c r="CW17" s="59">
        <f t="shared" si="2"/>
        <v>6.9444444444444455</v>
      </c>
      <c r="CX17" s="59">
        <f t="shared" si="2"/>
        <v>7.0819715466566464</v>
      </c>
      <c r="CY17" s="59">
        <f t="shared" si="2"/>
        <v>8.0985442983962521</v>
      </c>
      <c r="CZ17" s="59">
        <f t="shared" si="2"/>
        <v>8.8932281075456245</v>
      </c>
      <c r="DA17" s="59">
        <f t="shared" si="2"/>
        <v>10.847568994314798</v>
      </c>
      <c r="DB17" s="59">
        <f t="shared" si="2"/>
        <v>30.333791205335494</v>
      </c>
      <c r="DC17" s="59">
        <f t="shared" si="2"/>
        <v>25.946585683707511</v>
      </c>
      <c r="DD17" s="59">
        <f t="shared" si="2"/>
        <v>27.287337089428473</v>
      </c>
      <c r="DE17" s="59">
        <f t="shared" si="2"/>
        <v>29.981990479059586</v>
      </c>
      <c r="DF17" s="59">
        <f t="shared" si="2"/>
        <v>31.334761590773553</v>
      </c>
    </row>
    <row r="18" spans="4:110" ht="15" customHeight="1" x14ac:dyDescent="0.45">
      <c r="D18" s="75" t="s">
        <v>41</v>
      </c>
      <c r="E18" s="70">
        <v>10</v>
      </c>
      <c r="F18" s="70">
        <v>20</v>
      </c>
      <c r="G18" s="70">
        <v>10</v>
      </c>
      <c r="I18" s="76">
        <v>18.63389981249825</v>
      </c>
      <c r="J18" s="76">
        <v>35</v>
      </c>
      <c r="K18" s="76">
        <v>33.333333333333336</v>
      </c>
      <c r="L18" s="76">
        <v>30</v>
      </c>
      <c r="M18" s="76">
        <v>28.333333333333336</v>
      </c>
      <c r="N18" s="76">
        <v>25</v>
      </c>
      <c r="O18" s="76">
        <v>8.3333333333333339</v>
      </c>
      <c r="P18" s="76">
        <v>5</v>
      </c>
      <c r="Q18" s="76">
        <v>3.3333333333333335</v>
      </c>
      <c r="R18" s="76">
        <v>833.33333333333337</v>
      </c>
      <c r="S18" s="76">
        <v>1.6666666666666667</v>
      </c>
      <c r="T18" s="76">
        <v>35.978388574871502</v>
      </c>
      <c r="U18" s="76">
        <v>34.359213546813841</v>
      </c>
      <c r="V18" s="76">
        <v>31.135902820449012</v>
      </c>
      <c r="W18" s="76">
        <v>29.53340857778225</v>
      </c>
      <c r="X18" s="76">
        <v>26.352313834736496</v>
      </c>
      <c r="Y18" s="76">
        <v>11.785113019775793</v>
      </c>
      <c r="Z18" s="76">
        <v>9.7182531580755018</v>
      </c>
      <c r="AA18" s="76">
        <v>8.9752746785575059</v>
      </c>
      <c r="AB18" s="76">
        <v>8.3333333333333339</v>
      </c>
      <c r="AC18" s="76">
        <v>8.4983658559879753</v>
      </c>
      <c r="AD18" s="76">
        <v>38.765677832043359</v>
      </c>
      <c r="AE18" s="76">
        <v>37.267799624996499</v>
      </c>
      <c r="AF18" s="76">
        <v>34.318767136623336</v>
      </c>
      <c r="AG18" s="76">
        <v>32.871804872193373</v>
      </c>
      <c r="AH18" s="76">
        <v>30.046260628866577</v>
      </c>
      <c r="AI18" s="76">
        <v>18.333333333333336</v>
      </c>
      <c r="AJ18" s="76">
        <v>17.400510848184251</v>
      </c>
      <c r="AK18" s="76">
        <v>16.996731711975951</v>
      </c>
      <c r="AL18" s="76">
        <v>16.666666666666668</v>
      </c>
      <c r="AM18" s="76">
        <v>16.749792701868152</v>
      </c>
      <c r="AY18" s="77"/>
      <c r="BB18" s="91"/>
      <c r="BC18" s="92"/>
      <c r="BD18" s="92"/>
      <c r="BE18" s="93"/>
      <c r="BF18" s="94"/>
      <c r="BG18" s="95"/>
      <c r="BH18" s="96"/>
      <c r="BI18" s="90"/>
      <c r="BJ18" s="90"/>
      <c r="CB18" s="59">
        <f t="shared" si="4"/>
        <v>19.641855032959654</v>
      </c>
      <c r="CC18" s="59">
        <f t="shared" si="4"/>
        <v>7.0819715466566464</v>
      </c>
      <c r="CD18" s="59">
        <f t="shared" si="4"/>
        <v>6.9444444444444455</v>
      </c>
      <c r="CE18" s="59">
        <f t="shared" si="4"/>
        <v>7.4793955654645883</v>
      </c>
      <c r="CF18" s="59">
        <f t="shared" si="4"/>
        <v>8.0985442983962521</v>
      </c>
      <c r="CG18" s="59">
        <f t="shared" si="4"/>
        <v>9.8209275164798271</v>
      </c>
      <c r="CH18" s="59">
        <f t="shared" si="4"/>
        <v>21.960261528947079</v>
      </c>
      <c r="CI18" s="59">
        <f t="shared" si="4"/>
        <v>24.611173814818542</v>
      </c>
      <c r="CJ18" s="59">
        <f t="shared" si="4"/>
        <v>25.946585683707511</v>
      </c>
      <c r="CK18" s="59">
        <f t="shared" si="4"/>
        <v>28.632677955678201</v>
      </c>
      <c r="CL18" s="59">
        <f t="shared" si="4"/>
        <v>29.981990479059586</v>
      </c>
      <c r="CM18" s="59">
        <f t="shared" si="4"/>
        <v>1.3888888888888891</v>
      </c>
      <c r="CN18" s="59">
        <f t="shared" si="4"/>
        <v>694.44444444444446</v>
      </c>
      <c r="CO18" s="59">
        <f t="shared" si="4"/>
        <v>2.7777777777777781</v>
      </c>
      <c r="CP18" s="59">
        <f t="shared" si="4"/>
        <v>4.166666666666667</v>
      </c>
      <c r="CQ18" s="59">
        <f t="shared" si="4"/>
        <v>6.9444444444444455</v>
      </c>
      <c r="CR18" s="59">
        <f t="shared" si="2"/>
        <v>20.833333333333336</v>
      </c>
      <c r="CS18" s="59">
        <f t="shared" si="2"/>
        <v>23.611111111111114</v>
      </c>
      <c r="CT18" s="59">
        <f t="shared" si="2"/>
        <v>25</v>
      </c>
      <c r="CU18" s="59">
        <f t="shared" si="2"/>
        <v>27.777777777777782</v>
      </c>
      <c r="CV18" s="59">
        <f t="shared" si="2"/>
        <v>29.166666666666668</v>
      </c>
      <c r="CW18" s="59">
        <f t="shared" si="2"/>
        <v>7.0819715466566464</v>
      </c>
      <c r="CX18" s="59">
        <f t="shared" si="2"/>
        <v>6.9444444444444455</v>
      </c>
      <c r="CY18" s="59">
        <f t="shared" si="2"/>
        <v>7.4793955654645883</v>
      </c>
      <c r="CZ18" s="59">
        <f t="shared" si="2"/>
        <v>8.0985442983962521</v>
      </c>
      <c r="DA18" s="59">
        <f t="shared" si="2"/>
        <v>9.8209275164798271</v>
      </c>
      <c r="DB18" s="59">
        <f t="shared" si="2"/>
        <v>29.000851413640419</v>
      </c>
      <c r="DC18" s="59">
        <f t="shared" si="2"/>
        <v>24.611173814818542</v>
      </c>
      <c r="DD18" s="59">
        <f t="shared" si="2"/>
        <v>25.946585683707511</v>
      </c>
      <c r="DE18" s="59">
        <f t="shared" si="2"/>
        <v>28.632677955678201</v>
      </c>
      <c r="DF18" s="59">
        <f t="shared" si="2"/>
        <v>29.981990479059586</v>
      </c>
    </row>
    <row r="19" spans="4:110" ht="15" customHeight="1" x14ac:dyDescent="0.45">
      <c r="D19" s="75" t="s">
        <v>42</v>
      </c>
      <c r="E19" s="70">
        <v>11</v>
      </c>
      <c r="F19" s="70">
        <v>22</v>
      </c>
      <c r="G19" s="70">
        <v>10</v>
      </c>
      <c r="I19" s="76">
        <v>20.138409955990955</v>
      </c>
      <c r="J19" s="76">
        <v>36.666666666666671</v>
      </c>
      <c r="K19" s="76">
        <v>35</v>
      </c>
      <c r="L19" s="76">
        <v>31.666666666666668</v>
      </c>
      <c r="M19" s="76">
        <v>30</v>
      </c>
      <c r="N19" s="76">
        <v>26.666666666666668</v>
      </c>
      <c r="O19" s="76">
        <v>10</v>
      </c>
      <c r="P19" s="76">
        <v>6.666666666666667</v>
      </c>
      <c r="Q19" s="76">
        <v>5</v>
      </c>
      <c r="R19" s="76">
        <v>1.6666666666666667</v>
      </c>
      <c r="S19" s="76">
        <v>833.33333333333337</v>
      </c>
      <c r="T19" s="76">
        <v>37.601713908928261</v>
      </c>
      <c r="U19" s="76">
        <v>35.978388574871502</v>
      </c>
      <c r="V19" s="76">
        <v>32.744804507314164</v>
      </c>
      <c r="W19" s="76">
        <v>31.135902820449012</v>
      </c>
      <c r="X19" s="76">
        <v>27.938424357067021</v>
      </c>
      <c r="Y19" s="76">
        <v>13.017082793177757</v>
      </c>
      <c r="Z19" s="76">
        <v>10.671873729054749</v>
      </c>
      <c r="AA19" s="76">
        <v>9.7182531580755018</v>
      </c>
      <c r="AB19" s="76">
        <v>8.4983658559879753</v>
      </c>
      <c r="AC19" s="76">
        <v>8.3333333333333339</v>
      </c>
      <c r="AD19" s="76">
        <v>40.27681991198191</v>
      </c>
      <c r="AE19" s="76">
        <v>38.765677832043359</v>
      </c>
      <c r="AF19" s="76">
        <v>35.784850922639812</v>
      </c>
      <c r="AG19" s="76">
        <v>34.318767136623336</v>
      </c>
      <c r="AH19" s="76">
        <v>31.446603773522011</v>
      </c>
      <c r="AI19" s="76">
        <v>18.408935028645438</v>
      </c>
      <c r="AJ19" s="76">
        <v>17.950549357115012</v>
      </c>
      <c r="AK19" s="76">
        <v>17.400510848184251</v>
      </c>
      <c r="AL19" s="76">
        <v>16.749792701868152</v>
      </c>
      <c r="AM19" s="76">
        <v>16.666666666666668</v>
      </c>
      <c r="AY19" s="77"/>
      <c r="BB19" s="91"/>
      <c r="BC19" s="92"/>
      <c r="BD19" s="92"/>
      <c r="BE19" s="93"/>
      <c r="BF19" s="94"/>
      <c r="BG19" s="95"/>
      <c r="BH19" s="96"/>
      <c r="BI19" s="90"/>
      <c r="BJ19" s="90"/>
      <c r="CB19" s="59">
        <f t="shared" si="4"/>
        <v>17.786456215091249</v>
      </c>
      <c r="CC19" s="59">
        <f t="shared" si="4"/>
        <v>8.0985442983962521</v>
      </c>
      <c r="CD19" s="59">
        <f t="shared" si="4"/>
        <v>7.4793955654645883</v>
      </c>
      <c r="CE19" s="59">
        <f t="shared" si="4"/>
        <v>6.9444444444444455</v>
      </c>
      <c r="CF19" s="59">
        <f t="shared" si="4"/>
        <v>7.0819715466566464</v>
      </c>
      <c r="CG19" s="59">
        <f t="shared" si="4"/>
        <v>8.0985442983962521</v>
      </c>
      <c r="CH19" s="59">
        <f t="shared" si="4"/>
        <v>19.34498371831128</v>
      </c>
      <c r="CI19" s="59">
        <f t="shared" si="4"/>
        <v>21.960261528947079</v>
      </c>
      <c r="CJ19" s="59">
        <f t="shared" si="4"/>
        <v>23.282020297555853</v>
      </c>
      <c r="CK19" s="59">
        <f t="shared" si="4"/>
        <v>25.946585683707511</v>
      </c>
      <c r="CL19" s="59">
        <f t="shared" si="4"/>
        <v>27.287337089428473</v>
      </c>
      <c r="CM19" s="59">
        <f t="shared" si="4"/>
        <v>4.166666666666667</v>
      </c>
      <c r="CN19" s="59">
        <f t="shared" si="4"/>
        <v>2.7777777777777781</v>
      </c>
      <c r="CO19" s="59">
        <f t="shared" si="4"/>
        <v>694.44444444444446</v>
      </c>
      <c r="CP19" s="59">
        <f t="shared" si="4"/>
        <v>1.3888888888888891</v>
      </c>
      <c r="CQ19" s="59">
        <f t="shared" si="4"/>
        <v>4.166666666666667</v>
      </c>
      <c r="CR19" s="59">
        <f t="shared" si="2"/>
        <v>18.055555555555557</v>
      </c>
      <c r="CS19" s="59">
        <f t="shared" si="2"/>
        <v>20.833333333333336</v>
      </c>
      <c r="CT19" s="59">
        <f t="shared" si="2"/>
        <v>22.222222222222225</v>
      </c>
      <c r="CU19" s="59">
        <f t="shared" si="2"/>
        <v>25</v>
      </c>
      <c r="CV19" s="59">
        <f t="shared" si="2"/>
        <v>26.388888888888889</v>
      </c>
      <c r="CW19" s="59">
        <f t="shared" si="2"/>
        <v>8.0985442983962521</v>
      </c>
      <c r="CX19" s="59">
        <f t="shared" si="2"/>
        <v>7.4793955654645883</v>
      </c>
      <c r="CY19" s="59">
        <f t="shared" si="2"/>
        <v>6.9444444444444455</v>
      </c>
      <c r="CZ19" s="59">
        <f t="shared" si="2"/>
        <v>7.0819715466566464</v>
      </c>
      <c r="DA19" s="59">
        <f t="shared" si="2"/>
        <v>8.0985442983962521</v>
      </c>
      <c r="DB19" s="59">
        <f t="shared" si="2"/>
        <v>26.352313834736499</v>
      </c>
      <c r="DC19" s="59">
        <f t="shared" si="2"/>
        <v>21.960261528947079</v>
      </c>
      <c r="DD19" s="59">
        <f t="shared" si="2"/>
        <v>23.282020297555853</v>
      </c>
      <c r="DE19" s="59">
        <f t="shared" si="2"/>
        <v>25.946585683707511</v>
      </c>
      <c r="DF19" s="59">
        <f t="shared" si="2"/>
        <v>27.287337089428473</v>
      </c>
    </row>
    <row r="20" spans="4:110" ht="15" customHeight="1" x14ac:dyDescent="0.45">
      <c r="D20" s="75" t="s">
        <v>43</v>
      </c>
      <c r="E20" s="70">
        <v>12</v>
      </c>
      <c r="F20" s="70">
        <v>-22</v>
      </c>
      <c r="G20" s="70">
        <v>20</v>
      </c>
      <c r="I20" s="76">
        <v>24.776781245530845</v>
      </c>
      <c r="J20" s="76">
        <v>8.3333333333333339</v>
      </c>
      <c r="K20" s="76">
        <v>8.4983658559879753</v>
      </c>
      <c r="L20" s="76">
        <v>9.7182531580755018</v>
      </c>
      <c r="M20" s="76">
        <v>10.671873729054749</v>
      </c>
      <c r="N20" s="76">
        <v>13.017082793177757</v>
      </c>
      <c r="O20" s="76">
        <v>27.938424357067021</v>
      </c>
      <c r="P20" s="76">
        <v>31.135902820449012</v>
      </c>
      <c r="Q20" s="76">
        <v>32.744804507314164</v>
      </c>
      <c r="R20" s="76">
        <v>35.978388574871502</v>
      </c>
      <c r="S20" s="76">
        <v>37.601713908928261</v>
      </c>
      <c r="T20" s="76">
        <v>833.33333333333337</v>
      </c>
      <c r="U20" s="76">
        <v>1.6666666666666667</v>
      </c>
      <c r="V20" s="76">
        <v>5</v>
      </c>
      <c r="W20" s="76">
        <v>6.666666666666667</v>
      </c>
      <c r="X20" s="76">
        <v>10</v>
      </c>
      <c r="Y20" s="76">
        <v>26.666666666666668</v>
      </c>
      <c r="Z20" s="76">
        <v>30</v>
      </c>
      <c r="AA20" s="76">
        <v>31.666666666666668</v>
      </c>
      <c r="AB20" s="76">
        <v>35</v>
      </c>
      <c r="AC20" s="76">
        <v>36.666666666666671</v>
      </c>
      <c r="AD20" s="76">
        <v>8.3333333333333339</v>
      </c>
      <c r="AE20" s="76">
        <v>8.4983658559879753</v>
      </c>
      <c r="AF20" s="76">
        <v>9.7182531580755018</v>
      </c>
      <c r="AG20" s="76">
        <v>10.671873729054749</v>
      </c>
      <c r="AH20" s="76">
        <v>13.017082793177757</v>
      </c>
      <c r="AI20" s="76">
        <v>36.400549446402593</v>
      </c>
      <c r="AJ20" s="76">
        <v>31.135902820449012</v>
      </c>
      <c r="AK20" s="76">
        <v>32.744804507314164</v>
      </c>
      <c r="AL20" s="76">
        <v>35.978388574871502</v>
      </c>
      <c r="AM20" s="76">
        <v>37.601713908928261</v>
      </c>
      <c r="AY20" s="77"/>
      <c r="BB20" s="97"/>
      <c r="BC20" s="98"/>
      <c r="BD20" s="98"/>
      <c r="BE20" s="99"/>
      <c r="BF20" s="100"/>
      <c r="BG20" s="101"/>
      <c r="BH20" s="102"/>
      <c r="BI20" s="90"/>
      <c r="BJ20" s="90"/>
      <c r="CB20" s="59">
        <f t="shared" si="4"/>
        <v>16.95354946629681</v>
      </c>
      <c r="CC20" s="59">
        <f t="shared" si="4"/>
        <v>8.8932281075456245</v>
      </c>
      <c r="CD20" s="59">
        <f t="shared" si="4"/>
        <v>8.0985442983962521</v>
      </c>
      <c r="CE20" s="59">
        <f t="shared" si="4"/>
        <v>7.0819715466566464</v>
      </c>
      <c r="CF20" s="59">
        <f t="shared" si="4"/>
        <v>6.9444444444444455</v>
      </c>
      <c r="CG20" s="59">
        <f t="shared" si="4"/>
        <v>7.4793955654645883</v>
      </c>
      <c r="CH20" s="59">
        <f t="shared" si="4"/>
        <v>18.055555555555557</v>
      </c>
      <c r="CI20" s="59">
        <f t="shared" si="4"/>
        <v>20.647317704609037</v>
      </c>
      <c r="CJ20" s="59">
        <f t="shared" si="4"/>
        <v>21.960261528947079</v>
      </c>
      <c r="CK20" s="59">
        <f t="shared" si="4"/>
        <v>24.611173814818542</v>
      </c>
      <c r="CL20" s="59">
        <f t="shared" si="4"/>
        <v>25.946585683707511</v>
      </c>
      <c r="CM20" s="59">
        <f t="shared" si="4"/>
        <v>5.5555555555555562</v>
      </c>
      <c r="CN20" s="59">
        <f t="shared" si="4"/>
        <v>4.166666666666667</v>
      </c>
      <c r="CO20" s="59">
        <f t="shared" si="4"/>
        <v>1.3888888888888891</v>
      </c>
      <c r="CP20" s="59">
        <f t="shared" si="4"/>
        <v>694.44444444444446</v>
      </c>
      <c r="CQ20" s="59">
        <f t="shared" si="4"/>
        <v>2.7777777777777781</v>
      </c>
      <c r="CR20" s="59">
        <f t="shared" si="2"/>
        <v>16.666666666666668</v>
      </c>
      <c r="CS20" s="59">
        <f t="shared" si="2"/>
        <v>19.444444444444446</v>
      </c>
      <c r="CT20" s="59">
        <f t="shared" si="2"/>
        <v>20.833333333333336</v>
      </c>
      <c r="CU20" s="59">
        <f t="shared" si="2"/>
        <v>23.611111111111114</v>
      </c>
      <c r="CV20" s="59">
        <f t="shared" si="2"/>
        <v>25</v>
      </c>
      <c r="CW20" s="59">
        <f t="shared" si="2"/>
        <v>8.8932281075456245</v>
      </c>
      <c r="CX20" s="59">
        <f t="shared" si="2"/>
        <v>8.0985442983962521</v>
      </c>
      <c r="CY20" s="59">
        <f t="shared" si="2"/>
        <v>7.0819715466566464</v>
      </c>
      <c r="CZ20" s="59">
        <f t="shared" si="2"/>
        <v>6.9444444444444455</v>
      </c>
      <c r="DA20" s="59">
        <f t="shared" si="2"/>
        <v>7.4793955654645883</v>
      </c>
      <c r="DB20" s="59">
        <f t="shared" si="2"/>
        <v>25.038550524055481</v>
      </c>
      <c r="DC20" s="59">
        <f t="shared" si="2"/>
        <v>20.647317704609037</v>
      </c>
      <c r="DD20" s="59">
        <f t="shared" si="2"/>
        <v>21.960261528947079</v>
      </c>
      <c r="DE20" s="59">
        <f t="shared" si="2"/>
        <v>24.611173814818542</v>
      </c>
      <c r="DF20" s="59">
        <f t="shared" si="2"/>
        <v>25.946585683707511</v>
      </c>
    </row>
    <row r="21" spans="4:110" ht="15" customHeight="1" x14ac:dyDescent="0.25">
      <c r="D21" s="75" t="s">
        <v>44</v>
      </c>
      <c r="E21" s="70">
        <v>13</v>
      </c>
      <c r="F21" s="70">
        <v>-20</v>
      </c>
      <c r="G21" s="70">
        <v>20</v>
      </c>
      <c r="I21" s="76">
        <v>23.570226039551585</v>
      </c>
      <c r="J21" s="76">
        <v>8.4983658559879753</v>
      </c>
      <c r="K21" s="76">
        <v>8.3333333333333339</v>
      </c>
      <c r="L21" s="76">
        <v>8.9752746785575059</v>
      </c>
      <c r="M21" s="76">
        <v>9.7182531580755018</v>
      </c>
      <c r="N21" s="76">
        <v>11.785113019775793</v>
      </c>
      <c r="O21" s="76">
        <v>26.352313834736496</v>
      </c>
      <c r="P21" s="76">
        <v>29.53340857778225</v>
      </c>
      <c r="Q21" s="76">
        <v>31.135902820449012</v>
      </c>
      <c r="R21" s="76">
        <v>34.359213546813841</v>
      </c>
      <c r="S21" s="76">
        <v>35.978388574871502</v>
      </c>
      <c r="T21" s="76">
        <v>1.6666666666666667</v>
      </c>
      <c r="U21" s="76">
        <v>833.33333333333337</v>
      </c>
      <c r="V21" s="76">
        <v>3.3333333333333335</v>
      </c>
      <c r="W21" s="76">
        <v>5</v>
      </c>
      <c r="X21" s="76">
        <v>8.3333333333333339</v>
      </c>
      <c r="Y21" s="76">
        <v>25</v>
      </c>
      <c r="Z21" s="76">
        <v>28.333333333333336</v>
      </c>
      <c r="AA21" s="76">
        <v>30</v>
      </c>
      <c r="AB21" s="76">
        <v>33.333333333333336</v>
      </c>
      <c r="AC21" s="76">
        <v>35</v>
      </c>
      <c r="AD21" s="76">
        <v>8.4983658559879753</v>
      </c>
      <c r="AE21" s="76">
        <v>8.3333333333333339</v>
      </c>
      <c r="AF21" s="76">
        <v>8.9752746785575059</v>
      </c>
      <c r="AG21" s="76">
        <v>9.7182531580755018</v>
      </c>
      <c r="AH21" s="76">
        <v>11.785113019775793</v>
      </c>
      <c r="AI21" s="76">
        <v>34.801021696368501</v>
      </c>
      <c r="AJ21" s="76">
        <v>29.53340857778225</v>
      </c>
      <c r="AK21" s="76">
        <v>31.135902820449012</v>
      </c>
      <c r="AL21" s="76">
        <v>34.359213546813841</v>
      </c>
      <c r="AM21" s="76">
        <v>35.978388574871502</v>
      </c>
      <c r="AY21" s="77"/>
      <c r="BB21" s="103" t="s">
        <v>8</v>
      </c>
      <c r="BC21" s="103"/>
      <c r="BD21" s="103"/>
      <c r="BE21" s="103"/>
      <c r="BF21" s="103">
        <f>35000/(20*8)</f>
        <v>218.75</v>
      </c>
      <c r="BG21" s="103"/>
      <c r="BH21" s="103"/>
      <c r="CB21" s="59">
        <f t="shared" si="4"/>
        <v>15.528249843748542</v>
      </c>
      <c r="CC21" s="59">
        <f t="shared" si="4"/>
        <v>10.847568994314798</v>
      </c>
      <c r="CD21" s="59">
        <f t="shared" si="4"/>
        <v>9.8209275164798271</v>
      </c>
      <c r="CE21" s="59">
        <f t="shared" si="4"/>
        <v>8.0985442983962521</v>
      </c>
      <c r="CF21" s="59">
        <f t="shared" si="4"/>
        <v>7.4793955654645883</v>
      </c>
      <c r="CG21" s="59">
        <f t="shared" si="4"/>
        <v>6.9444444444444455</v>
      </c>
      <c r="CH21" s="59">
        <f t="shared" si="4"/>
        <v>15.528249843748542</v>
      </c>
      <c r="CI21" s="59">
        <f t="shared" si="4"/>
        <v>18.055555555555557</v>
      </c>
      <c r="CJ21" s="59">
        <f t="shared" si="4"/>
        <v>19.34498371831128</v>
      </c>
      <c r="CK21" s="59">
        <f t="shared" si="4"/>
        <v>21.960261528947079</v>
      </c>
      <c r="CL21" s="59">
        <f t="shared" si="4"/>
        <v>23.282020297555853</v>
      </c>
      <c r="CM21" s="59">
        <f t="shared" si="4"/>
        <v>8.3333333333333339</v>
      </c>
      <c r="CN21" s="59">
        <f t="shared" si="4"/>
        <v>6.9444444444444455</v>
      </c>
      <c r="CO21" s="59">
        <f t="shared" si="4"/>
        <v>4.166666666666667</v>
      </c>
      <c r="CP21" s="59">
        <f t="shared" si="4"/>
        <v>2.7777777777777781</v>
      </c>
      <c r="CQ21" s="59">
        <f t="shared" si="4"/>
        <v>694.44444444444446</v>
      </c>
      <c r="CR21" s="59">
        <f t="shared" si="2"/>
        <v>13.888888888888891</v>
      </c>
      <c r="CS21" s="59">
        <f t="shared" si="2"/>
        <v>16.666666666666668</v>
      </c>
      <c r="CT21" s="59">
        <f t="shared" si="2"/>
        <v>18.055555555555557</v>
      </c>
      <c r="CU21" s="59">
        <f t="shared" si="2"/>
        <v>20.833333333333336</v>
      </c>
      <c r="CV21" s="59">
        <f t="shared" si="2"/>
        <v>22.222222222222225</v>
      </c>
      <c r="CW21" s="59">
        <f t="shared" si="2"/>
        <v>10.847568994314798</v>
      </c>
      <c r="CX21" s="59">
        <f t="shared" si="2"/>
        <v>9.8209275164798271</v>
      </c>
      <c r="CY21" s="59">
        <f t="shared" si="2"/>
        <v>8.0985442983962521</v>
      </c>
      <c r="CZ21" s="59">
        <f t="shared" si="2"/>
        <v>7.4793955654645883</v>
      </c>
      <c r="DA21" s="59">
        <f t="shared" si="2"/>
        <v>6.9444444444444455</v>
      </c>
      <c r="DB21" s="59">
        <f t="shared" si="2"/>
        <v>22.438186696393768</v>
      </c>
      <c r="DC21" s="59">
        <f t="shared" si="2"/>
        <v>18.055555555555557</v>
      </c>
      <c r="DD21" s="59">
        <f t="shared" si="2"/>
        <v>19.34498371831128</v>
      </c>
      <c r="DE21" s="59">
        <f t="shared" si="2"/>
        <v>21.960261528947079</v>
      </c>
      <c r="DF21" s="59">
        <f t="shared" si="2"/>
        <v>23.282020297555853</v>
      </c>
    </row>
    <row r="22" spans="4:110" ht="15" customHeight="1" x14ac:dyDescent="0.25">
      <c r="D22" s="75" t="s">
        <v>45</v>
      </c>
      <c r="E22" s="70">
        <v>14</v>
      </c>
      <c r="F22" s="70">
        <v>-16</v>
      </c>
      <c r="G22" s="70">
        <v>20</v>
      </c>
      <c r="I22" s="76">
        <v>21.343747458109497</v>
      </c>
      <c r="J22" s="76">
        <v>9.7182531580755018</v>
      </c>
      <c r="K22" s="76">
        <v>8.9752746785575059</v>
      </c>
      <c r="L22" s="76">
        <v>8.3333333333333339</v>
      </c>
      <c r="M22" s="76">
        <v>8.4983658559879753</v>
      </c>
      <c r="N22" s="76">
        <v>9.7182531580755018</v>
      </c>
      <c r="O22" s="76">
        <v>23.213980461973534</v>
      </c>
      <c r="P22" s="76">
        <v>26.352313834736496</v>
      </c>
      <c r="Q22" s="76">
        <v>27.938424357067021</v>
      </c>
      <c r="R22" s="76">
        <v>31.135902820449012</v>
      </c>
      <c r="S22" s="76">
        <v>32.744804507314164</v>
      </c>
      <c r="T22" s="76">
        <v>5</v>
      </c>
      <c r="U22" s="76">
        <v>3.3333333333333335</v>
      </c>
      <c r="V22" s="76">
        <v>833.33333333333337</v>
      </c>
      <c r="W22" s="76">
        <v>1.6666666666666667</v>
      </c>
      <c r="X22" s="76">
        <v>5</v>
      </c>
      <c r="Y22" s="76">
        <v>21.666666666666668</v>
      </c>
      <c r="Z22" s="76">
        <v>25</v>
      </c>
      <c r="AA22" s="76">
        <v>26.666666666666668</v>
      </c>
      <c r="AB22" s="76">
        <v>30</v>
      </c>
      <c r="AC22" s="76">
        <v>31.666666666666668</v>
      </c>
      <c r="AD22" s="76">
        <v>9.7182531580755018</v>
      </c>
      <c r="AE22" s="76">
        <v>8.9752746785575059</v>
      </c>
      <c r="AF22" s="76">
        <v>8.3333333333333339</v>
      </c>
      <c r="AG22" s="76">
        <v>8.4983658559879753</v>
      </c>
      <c r="AH22" s="76">
        <v>9.7182531580755018</v>
      </c>
      <c r="AI22" s="76">
        <v>31.622776601683796</v>
      </c>
      <c r="AJ22" s="76">
        <v>26.352313834736496</v>
      </c>
      <c r="AK22" s="76">
        <v>27.938424357067021</v>
      </c>
      <c r="AL22" s="76">
        <v>31.135902820449012</v>
      </c>
      <c r="AM22" s="76">
        <v>32.744804507314164</v>
      </c>
      <c r="AY22" s="77"/>
      <c r="BB22" s="103"/>
      <c r="BC22" s="103"/>
      <c r="BD22" s="103"/>
      <c r="BE22" s="103"/>
      <c r="BF22" s="103"/>
      <c r="BG22" s="103"/>
      <c r="BH22" s="103"/>
      <c r="CB22" s="59">
        <f t="shared" si="4"/>
        <v>15.528249843748542</v>
      </c>
      <c r="CC22" s="59">
        <f t="shared" si="4"/>
        <v>23.282020297555853</v>
      </c>
      <c r="CD22" s="59">
        <f t="shared" si="4"/>
        <v>21.960261528947079</v>
      </c>
      <c r="CE22" s="59">
        <f t="shared" si="4"/>
        <v>19.34498371831128</v>
      </c>
      <c r="CF22" s="59">
        <f t="shared" si="4"/>
        <v>18.055555555555557</v>
      </c>
      <c r="CG22" s="59">
        <f t="shared" si="4"/>
        <v>15.528249843748542</v>
      </c>
      <c r="CH22" s="59">
        <f t="shared" si="4"/>
        <v>6.9444444444444455</v>
      </c>
      <c r="CI22" s="59">
        <f t="shared" si="4"/>
        <v>7.4793955654645883</v>
      </c>
      <c r="CJ22" s="59">
        <f t="shared" si="4"/>
        <v>8.0985442983962521</v>
      </c>
      <c r="CK22" s="59">
        <f t="shared" si="4"/>
        <v>9.8209275164798271</v>
      </c>
      <c r="CL22" s="59">
        <f t="shared" si="4"/>
        <v>10.847568994314798</v>
      </c>
      <c r="CM22" s="59">
        <f t="shared" si="4"/>
        <v>22.222222222222225</v>
      </c>
      <c r="CN22" s="59">
        <f t="shared" si="4"/>
        <v>20.833333333333336</v>
      </c>
      <c r="CO22" s="59">
        <f t="shared" si="4"/>
        <v>18.055555555555557</v>
      </c>
      <c r="CP22" s="59">
        <f t="shared" si="4"/>
        <v>16.666666666666668</v>
      </c>
      <c r="CQ22" s="59">
        <f t="shared" si="4"/>
        <v>13.888888888888891</v>
      </c>
      <c r="CR22" s="59">
        <f t="shared" ref="CR22:DF37" si="5">Y25/1.2</f>
        <v>694.44444444444446</v>
      </c>
      <c r="CS22" s="59">
        <f t="shared" si="5"/>
        <v>2.7777777777777781</v>
      </c>
      <c r="CT22" s="59">
        <f t="shared" si="5"/>
        <v>4.166666666666667</v>
      </c>
      <c r="CU22" s="59">
        <f t="shared" si="5"/>
        <v>6.9444444444444455</v>
      </c>
      <c r="CV22" s="59">
        <f t="shared" si="5"/>
        <v>8.3333333333333339</v>
      </c>
      <c r="CW22" s="59">
        <f t="shared" si="5"/>
        <v>23.282020297555853</v>
      </c>
      <c r="CX22" s="59">
        <f t="shared" si="5"/>
        <v>21.960261528947079</v>
      </c>
      <c r="CY22" s="59">
        <f t="shared" si="5"/>
        <v>19.34498371831128</v>
      </c>
      <c r="CZ22" s="59">
        <f t="shared" si="5"/>
        <v>18.055555555555557</v>
      </c>
      <c r="DA22" s="59">
        <f t="shared" si="5"/>
        <v>15.528249843748542</v>
      </c>
      <c r="DB22" s="59">
        <f t="shared" si="5"/>
        <v>10.847568994314798</v>
      </c>
      <c r="DC22" s="59">
        <f t="shared" si="5"/>
        <v>7.4793955654645883</v>
      </c>
      <c r="DD22" s="59">
        <f t="shared" si="5"/>
        <v>8.0985442983962521</v>
      </c>
      <c r="DE22" s="59">
        <f t="shared" si="5"/>
        <v>9.8209275164798271</v>
      </c>
      <c r="DF22" s="59">
        <f t="shared" si="5"/>
        <v>10.847568994314798</v>
      </c>
    </row>
    <row r="23" spans="4:110" ht="15" customHeight="1" x14ac:dyDescent="0.25">
      <c r="D23" s="75" t="s">
        <v>46</v>
      </c>
      <c r="E23" s="70">
        <v>15</v>
      </c>
      <c r="F23" s="70">
        <v>-14</v>
      </c>
      <c r="G23" s="70">
        <v>20</v>
      </c>
      <c r="I23" s="76">
        <v>20.344259359556172</v>
      </c>
      <c r="J23" s="76">
        <v>10.671873729054749</v>
      </c>
      <c r="K23" s="76">
        <v>9.7182531580755018</v>
      </c>
      <c r="L23" s="76">
        <v>8.4983658559879753</v>
      </c>
      <c r="M23" s="76">
        <v>8.3333333333333339</v>
      </c>
      <c r="N23" s="76">
        <v>8.9752746785575059</v>
      </c>
      <c r="O23" s="76">
        <v>21.666666666666668</v>
      </c>
      <c r="P23" s="76">
        <v>24.776781245530845</v>
      </c>
      <c r="Q23" s="76">
        <v>26.352313834736496</v>
      </c>
      <c r="R23" s="76">
        <v>29.53340857778225</v>
      </c>
      <c r="S23" s="76">
        <v>31.135902820449012</v>
      </c>
      <c r="T23" s="76">
        <v>6.666666666666667</v>
      </c>
      <c r="U23" s="76">
        <v>5</v>
      </c>
      <c r="V23" s="76">
        <v>1.6666666666666667</v>
      </c>
      <c r="W23" s="76">
        <v>833.33333333333337</v>
      </c>
      <c r="X23" s="76">
        <v>3.3333333333333335</v>
      </c>
      <c r="Y23" s="76">
        <v>20</v>
      </c>
      <c r="Z23" s="76">
        <v>23.333333333333336</v>
      </c>
      <c r="AA23" s="76">
        <v>25</v>
      </c>
      <c r="AB23" s="76">
        <v>28.333333333333336</v>
      </c>
      <c r="AC23" s="76">
        <v>30</v>
      </c>
      <c r="AD23" s="76">
        <v>10.671873729054749</v>
      </c>
      <c r="AE23" s="76">
        <v>9.7182531580755018</v>
      </c>
      <c r="AF23" s="76">
        <v>8.4983658559879753</v>
      </c>
      <c r="AG23" s="76">
        <v>8.3333333333333339</v>
      </c>
      <c r="AH23" s="76">
        <v>8.9752746785575059</v>
      </c>
      <c r="AI23" s="76">
        <v>30.046260628866577</v>
      </c>
      <c r="AJ23" s="76">
        <v>24.776781245530845</v>
      </c>
      <c r="AK23" s="76">
        <v>26.352313834736496</v>
      </c>
      <c r="AL23" s="76">
        <v>29.53340857778225</v>
      </c>
      <c r="AM23" s="76">
        <v>31.135902820449012</v>
      </c>
      <c r="AY23" s="77"/>
      <c r="BB23" s="103"/>
      <c r="BC23" s="103"/>
      <c r="BD23" s="103"/>
      <c r="BE23" s="103"/>
      <c r="BF23" s="103"/>
      <c r="BG23" s="103"/>
      <c r="BH23" s="103"/>
      <c r="CB23" s="59">
        <f t="shared" ref="CB23:CQ36" si="6">I26/1.2</f>
        <v>16.95354946629681</v>
      </c>
      <c r="CC23" s="59">
        <f t="shared" si="6"/>
        <v>25.946585683707511</v>
      </c>
      <c r="CD23" s="59">
        <f t="shared" si="6"/>
        <v>24.611173814818542</v>
      </c>
      <c r="CE23" s="59">
        <f t="shared" si="6"/>
        <v>21.960261528947079</v>
      </c>
      <c r="CF23" s="59">
        <f t="shared" si="6"/>
        <v>20.647317704609037</v>
      </c>
      <c r="CG23" s="59">
        <f t="shared" si="6"/>
        <v>18.055555555555557</v>
      </c>
      <c r="CH23" s="59">
        <f t="shared" si="6"/>
        <v>7.4793955654645883</v>
      </c>
      <c r="CI23" s="59">
        <f t="shared" si="6"/>
        <v>6.9444444444444455</v>
      </c>
      <c r="CJ23" s="59">
        <f t="shared" si="6"/>
        <v>7.0819715466566464</v>
      </c>
      <c r="CK23" s="59">
        <f t="shared" si="6"/>
        <v>8.0985442983962521</v>
      </c>
      <c r="CL23" s="59">
        <f t="shared" si="6"/>
        <v>8.8932281075456245</v>
      </c>
      <c r="CM23" s="59">
        <f t="shared" si="6"/>
        <v>25</v>
      </c>
      <c r="CN23" s="59">
        <f t="shared" si="6"/>
        <v>23.611111111111114</v>
      </c>
      <c r="CO23" s="59">
        <f t="shared" si="6"/>
        <v>20.833333333333336</v>
      </c>
      <c r="CP23" s="59">
        <f t="shared" si="6"/>
        <v>19.444444444444446</v>
      </c>
      <c r="CQ23" s="59">
        <f t="shared" si="6"/>
        <v>16.666666666666668</v>
      </c>
      <c r="CR23" s="59">
        <f t="shared" si="5"/>
        <v>2.7777777777777781</v>
      </c>
      <c r="CS23" s="59">
        <f t="shared" si="5"/>
        <v>694.44444444444446</v>
      </c>
      <c r="CT23" s="59">
        <f t="shared" si="5"/>
        <v>1.3888888888888891</v>
      </c>
      <c r="CU23" s="59">
        <f t="shared" si="5"/>
        <v>4.166666666666667</v>
      </c>
      <c r="CV23" s="59">
        <f t="shared" si="5"/>
        <v>5.5555555555555562</v>
      </c>
      <c r="CW23" s="59">
        <f t="shared" si="5"/>
        <v>25.946585683707511</v>
      </c>
      <c r="CX23" s="59">
        <f t="shared" si="5"/>
        <v>24.611173814818542</v>
      </c>
      <c r="CY23" s="59">
        <f t="shared" si="5"/>
        <v>21.960261528947079</v>
      </c>
      <c r="CZ23" s="59">
        <f t="shared" si="5"/>
        <v>20.647317704609037</v>
      </c>
      <c r="DA23" s="59">
        <f t="shared" si="5"/>
        <v>18.055555555555557</v>
      </c>
      <c r="DB23" s="59">
        <f t="shared" si="5"/>
        <v>9.3169499062491248</v>
      </c>
      <c r="DC23" s="59">
        <f t="shared" si="5"/>
        <v>6.9444444444444455</v>
      </c>
      <c r="DD23" s="59">
        <f t="shared" si="5"/>
        <v>7.0819715466566464</v>
      </c>
      <c r="DE23" s="59">
        <f t="shared" si="5"/>
        <v>8.0985442983962521</v>
      </c>
      <c r="DF23" s="59">
        <f t="shared" si="5"/>
        <v>8.8932281075456245</v>
      </c>
    </row>
    <row r="24" spans="4:110" ht="21.75" customHeight="1" x14ac:dyDescent="0.25">
      <c r="D24" s="75" t="s">
        <v>47</v>
      </c>
      <c r="E24" s="70">
        <v>16</v>
      </c>
      <c r="F24" s="70">
        <v>-10</v>
      </c>
      <c r="G24" s="70">
        <v>20</v>
      </c>
      <c r="I24" s="76">
        <v>18.63389981249825</v>
      </c>
      <c r="J24" s="76">
        <v>13.017082793177757</v>
      </c>
      <c r="K24" s="76">
        <v>11.785113019775793</v>
      </c>
      <c r="L24" s="76">
        <v>9.7182531580755018</v>
      </c>
      <c r="M24" s="76">
        <v>8.9752746785575059</v>
      </c>
      <c r="N24" s="76">
        <v>8.3333333333333339</v>
      </c>
      <c r="O24" s="76">
        <v>18.63389981249825</v>
      </c>
      <c r="P24" s="76">
        <v>21.666666666666668</v>
      </c>
      <c r="Q24" s="76">
        <v>23.213980461973534</v>
      </c>
      <c r="R24" s="76">
        <v>26.352313834736496</v>
      </c>
      <c r="S24" s="76">
        <v>27.938424357067021</v>
      </c>
      <c r="T24" s="76">
        <v>10</v>
      </c>
      <c r="U24" s="76">
        <v>8.3333333333333339</v>
      </c>
      <c r="V24" s="76">
        <v>5</v>
      </c>
      <c r="W24" s="76">
        <v>3.3333333333333335</v>
      </c>
      <c r="X24" s="76">
        <v>833.33333333333337</v>
      </c>
      <c r="Y24" s="76">
        <v>16.666666666666668</v>
      </c>
      <c r="Z24" s="76">
        <v>20</v>
      </c>
      <c r="AA24" s="76">
        <v>21.666666666666668</v>
      </c>
      <c r="AB24" s="76">
        <v>25</v>
      </c>
      <c r="AC24" s="76">
        <v>26.666666666666668</v>
      </c>
      <c r="AD24" s="76">
        <v>13.017082793177757</v>
      </c>
      <c r="AE24" s="76">
        <v>11.785113019775793</v>
      </c>
      <c r="AF24" s="76">
        <v>9.7182531580755018</v>
      </c>
      <c r="AG24" s="76">
        <v>8.9752746785575059</v>
      </c>
      <c r="AH24" s="76">
        <v>8.3333333333333339</v>
      </c>
      <c r="AI24" s="76">
        <v>26.92582403567252</v>
      </c>
      <c r="AJ24" s="76">
        <v>21.666666666666668</v>
      </c>
      <c r="AK24" s="76">
        <v>23.213980461973534</v>
      </c>
      <c r="AL24" s="76">
        <v>26.352313834736496</v>
      </c>
      <c r="AM24" s="76">
        <v>27.938424357067021</v>
      </c>
      <c r="AY24" s="77"/>
      <c r="BB24" s="103"/>
      <c r="BC24" s="103"/>
      <c r="BD24" s="103"/>
      <c r="BE24" s="103"/>
      <c r="BF24" s="103"/>
      <c r="BG24" s="103"/>
      <c r="BH24" s="103"/>
      <c r="BP24" s="82" t="s">
        <v>70</v>
      </c>
      <c r="BQ24" s="82"/>
      <c r="BR24" s="82" t="s">
        <v>71</v>
      </c>
      <c r="BS24" s="82"/>
      <c r="CB24" s="59">
        <f t="shared" si="6"/>
        <v>17.786456215091249</v>
      </c>
      <c r="CC24" s="59">
        <f t="shared" si="6"/>
        <v>27.287337089428473</v>
      </c>
      <c r="CD24" s="59">
        <f t="shared" si="6"/>
        <v>25.946585683707511</v>
      </c>
      <c r="CE24" s="59">
        <f t="shared" si="6"/>
        <v>23.282020297555853</v>
      </c>
      <c r="CF24" s="59">
        <f t="shared" si="6"/>
        <v>21.960261528947079</v>
      </c>
      <c r="CG24" s="59">
        <f t="shared" si="6"/>
        <v>19.34498371831128</v>
      </c>
      <c r="CH24" s="59">
        <f t="shared" si="6"/>
        <v>8.0985442983962521</v>
      </c>
      <c r="CI24" s="59">
        <f t="shared" si="6"/>
        <v>7.0819715466566464</v>
      </c>
      <c r="CJ24" s="59">
        <f t="shared" si="6"/>
        <v>6.9444444444444455</v>
      </c>
      <c r="CK24" s="59">
        <f t="shared" si="6"/>
        <v>7.4793955654645883</v>
      </c>
      <c r="CL24" s="59">
        <f t="shared" si="6"/>
        <v>8.0985442983962521</v>
      </c>
      <c r="CM24" s="59">
        <f t="shared" si="6"/>
        <v>26.388888888888889</v>
      </c>
      <c r="CN24" s="59">
        <f t="shared" si="6"/>
        <v>25</v>
      </c>
      <c r="CO24" s="59">
        <f t="shared" si="6"/>
        <v>22.222222222222225</v>
      </c>
      <c r="CP24" s="59">
        <f t="shared" si="6"/>
        <v>20.833333333333336</v>
      </c>
      <c r="CQ24" s="59">
        <f t="shared" si="6"/>
        <v>18.055555555555557</v>
      </c>
      <c r="CR24" s="59">
        <f t="shared" si="5"/>
        <v>4.166666666666667</v>
      </c>
      <c r="CS24" s="59">
        <f t="shared" si="5"/>
        <v>1.3888888888888891</v>
      </c>
      <c r="CT24" s="59">
        <f t="shared" si="5"/>
        <v>694.44444444444446</v>
      </c>
      <c r="CU24" s="59">
        <f t="shared" si="5"/>
        <v>2.7777777777777781</v>
      </c>
      <c r="CV24" s="59">
        <f t="shared" si="5"/>
        <v>4.166666666666667</v>
      </c>
      <c r="CW24" s="59">
        <f t="shared" si="5"/>
        <v>27.287337089428473</v>
      </c>
      <c r="CX24" s="59">
        <f t="shared" si="5"/>
        <v>25.946585683707511</v>
      </c>
      <c r="CY24" s="59">
        <f t="shared" si="5"/>
        <v>23.282020297555853</v>
      </c>
      <c r="CZ24" s="59">
        <f t="shared" si="5"/>
        <v>21.960261528947079</v>
      </c>
      <c r="DA24" s="59">
        <f t="shared" si="5"/>
        <v>19.34498371831128</v>
      </c>
      <c r="DB24" s="59">
        <f t="shared" si="5"/>
        <v>8.784104611578833</v>
      </c>
      <c r="DC24" s="59">
        <f t="shared" si="5"/>
        <v>7.0819715466566464</v>
      </c>
      <c r="DD24" s="59">
        <f t="shared" si="5"/>
        <v>6.9444444444444455</v>
      </c>
      <c r="DE24" s="59">
        <f t="shared" si="5"/>
        <v>7.4793955654645883</v>
      </c>
      <c r="DF24" s="59">
        <f t="shared" si="5"/>
        <v>8.0985442983962521</v>
      </c>
    </row>
    <row r="25" spans="4:110" ht="15" customHeight="1" x14ac:dyDescent="0.25">
      <c r="D25" s="75" t="s">
        <v>48</v>
      </c>
      <c r="E25" s="70">
        <v>17</v>
      </c>
      <c r="F25" s="70">
        <v>10</v>
      </c>
      <c r="G25" s="70">
        <v>20</v>
      </c>
      <c r="I25" s="76">
        <v>18.63389981249825</v>
      </c>
      <c r="J25" s="76">
        <v>27.938424357067021</v>
      </c>
      <c r="K25" s="76">
        <v>26.352313834736496</v>
      </c>
      <c r="L25" s="76">
        <v>23.213980461973534</v>
      </c>
      <c r="M25" s="76">
        <v>21.666666666666668</v>
      </c>
      <c r="N25" s="76">
        <v>18.63389981249825</v>
      </c>
      <c r="O25" s="76">
        <v>8.3333333333333339</v>
      </c>
      <c r="P25" s="76">
        <v>8.9752746785575059</v>
      </c>
      <c r="Q25" s="76">
        <v>9.7182531580755018</v>
      </c>
      <c r="R25" s="76">
        <v>11.785113019775793</v>
      </c>
      <c r="S25" s="76">
        <v>13.017082793177757</v>
      </c>
      <c r="T25" s="76">
        <v>26.666666666666668</v>
      </c>
      <c r="U25" s="76">
        <v>25</v>
      </c>
      <c r="V25" s="76">
        <v>21.666666666666668</v>
      </c>
      <c r="W25" s="76">
        <v>20</v>
      </c>
      <c r="X25" s="76">
        <v>16.666666666666668</v>
      </c>
      <c r="Y25" s="76">
        <v>833.33333333333337</v>
      </c>
      <c r="Z25" s="76">
        <v>3.3333333333333335</v>
      </c>
      <c r="AA25" s="76">
        <v>5</v>
      </c>
      <c r="AB25" s="76">
        <v>8.3333333333333339</v>
      </c>
      <c r="AC25" s="76">
        <v>10</v>
      </c>
      <c r="AD25" s="76">
        <v>27.938424357067021</v>
      </c>
      <c r="AE25" s="76">
        <v>26.352313834736496</v>
      </c>
      <c r="AF25" s="76">
        <v>23.213980461973534</v>
      </c>
      <c r="AG25" s="76">
        <v>21.666666666666668</v>
      </c>
      <c r="AH25" s="76">
        <v>18.63389981249825</v>
      </c>
      <c r="AI25" s="76">
        <v>13.017082793177757</v>
      </c>
      <c r="AJ25" s="76">
        <v>8.9752746785575059</v>
      </c>
      <c r="AK25" s="76">
        <v>9.7182531580755018</v>
      </c>
      <c r="AL25" s="76">
        <v>11.785113019775793</v>
      </c>
      <c r="AM25" s="76">
        <v>13.017082793177757</v>
      </c>
      <c r="AY25" s="77"/>
      <c r="BB25" s="82" t="s">
        <v>9</v>
      </c>
      <c r="BC25" s="82"/>
      <c r="BD25" s="82"/>
      <c r="BE25" s="82"/>
      <c r="BF25" s="82">
        <f>BF17/6</f>
        <v>3.2833134588765081</v>
      </c>
      <c r="BG25" s="82"/>
      <c r="BH25" s="82"/>
      <c r="BP25" s="82"/>
      <c r="BQ25" s="82"/>
      <c r="BR25" s="82"/>
      <c r="BS25" s="82"/>
      <c r="CB25" s="59">
        <f t="shared" si="6"/>
        <v>19.641855032959654</v>
      </c>
      <c r="CC25" s="59">
        <f t="shared" si="6"/>
        <v>29.981990479059586</v>
      </c>
      <c r="CD25" s="59">
        <f t="shared" si="6"/>
        <v>28.632677955678201</v>
      </c>
      <c r="CE25" s="59">
        <f t="shared" si="6"/>
        <v>25.946585683707511</v>
      </c>
      <c r="CF25" s="59">
        <f t="shared" si="6"/>
        <v>24.611173814818542</v>
      </c>
      <c r="CG25" s="59">
        <f t="shared" si="6"/>
        <v>21.960261528947079</v>
      </c>
      <c r="CH25" s="59">
        <f t="shared" si="6"/>
        <v>9.8209275164798271</v>
      </c>
      <c r="CI25" s="59">
        <f t="shared" si="6"/>
        <v>8.0985442983962521</v>
      </c>
      <c r="CJ25" s="59">
        <f t="shared" si="6"/>
        <v>7.4793955654645883</v>
      </c>
      <c r="CK25" s="59">
        <f t="shared" si="6"/>
        <v>6.9444444444444455</v>
      </c>
      <c r="CL25" s="59">
        <f t="shared" si="6"/>
        <v>7.0819715466566464</v>
      </c>
      <c r="CM25" s="59">
        <f t="shared" si="6"/>
        <v>29.166666666666668</v>
      </c>
      <c r="CN25" s="59">
        <f t="shared" si="6"/>
        <v>27.777777777777782</v>
      </c>
      <c r="CO25" s="59">
        <f t="shared" si="6"/>
        <v>25</v>
      </c>
      <c r="CP25" s="59">
        <f t="shared" si="6"/>
        <v>23.611111111111114</v>
      </c>
      <c r="CQ25" s="59">
        <f t="shared" si="6"/>
        <v>20.833333333333336</v>
      </c>
      <c r="CR25" s="59">
        <f t="shared" si="5"/>
        <v>6.9444444444444455</v>
      </c>
      <c r="CS25" s="59">
        <f t="shared" si="5"/>
        <v>4.166666666666667</v>
      </c>
      <c r="CT25" s="59">
        <f t="shared" si="5"/>
        <v>2.7777777777777781</v>
      </c>
      <c r="CU25" s="59">
        <f t="shared" si="5"/>
        <v>694.44444444444446</v>
      </c>
      <c r="CV25" s="59">
        <f t="shared" si="5"/>
        <v>1.3888888888888891</v>
      </c>
      <c r="CW25" s="59">
        <f t="shared" si="5"/>
        <v>29.981990479059586</v>
      </c>
      <c r="CX25" s="59">
        <f t="shared" si="5"/>
        <v>28.632677955678201</v>
      </c>
      <c r="CY25" s="59">
        <f t="shared" si="5"/>
        <v>25.946585683707511</v>
      </c>
      <c r="CZ25" s="59">
        <f t="shared" si="5"/>
        <v>24.611173814818542</v>
      </c>
      <c r="DA25" s="59">
        <f t="shared" si="5"/>
        <v>21.960261528947079</v>
      </c>
      <c r="DB25" s="59">
        <f t="shared" si="5"/>
        <v>8.3333333333333339</v>
      </c>
      <c r="DC25" s="59">
        <f t="shared" si="5"/>
        <v>8.0985442983962521</v>
      </c>
      <c r="DD25" s="59">
        <f t="shared" si="5"/>
        <v>7.4793955654645883</v>
      </c>
      <c r="DE25" s="59">
        <f t="shared" si="5"/>
        <v>6.9444444444444455</v>
      </c>
      <c r="DF25" s="59">
        <f t="shared" si="5"/>
        <v>7.0819715466566464</v>
      </c>
    </row>
    <row r="26" spans="4:110" ht="21.75" customHeight="1" x14ac:dyDescent="0.25">
      <c r="D26" s="75" t="s">
        <v>49</v>
      </c>
      <c r="E26" s="70">
        <v>18</v>
      </c>
      <c r="F26" s="70">
        <v>14</v>
      </c>
      <c r="G26" s="70">
        <v>20</v>
      </c>
      <c r="I26" s="76">
        <v>20.344259359556172</v>
      </c>
      <c r="J26" s="76">
        <v>31.135902820449012</v>
      </c>
      <c r="K26" s="76">
        <v>29.53340857778225</v>
      </c>
      <c r="L26" s="76">
        <v>26.352313834736496</v>
      </c>
      <c r="M26" s="76">
        <v>24.776781245530845</v>
      </c>
      <c r="N26" s="76">
        <v>21.666666666666668</v>
      </c>
      <c r="O26" s="76">
        <v>8.9752746785575059</v>
      </c>
      <c r="P26" s="76">
        <v>8.3333333333333339</v>
      </c>
      <c r="Q26" s="76">
        <v>8.4983658559879753</v>
      </c>
      <c r="R26" s="76">
        <v>9.7182531580755018</v>
      </c>
      <c r="S26" s="76">
        <v>10.671873729054749</v>
      </c>
      <c r="T26" s="76">
        <v>30</v>
      </c>
      <c r="U26" s="76">
        <v>28.333333333333336</v>
      </c>
      <c r="V26" s="76">
        <v>25</v>
      </c>
      <c r="W26" s="76">
        <v>23.333333333333336</v>
      </c>
      <c r="X26" s="76">
        <v>20</v>
      </c>
      <c r="Y26" s="76">
        <v>3.3333333333333335</v>
      </c>
      <c r="Z26" s="76">
        <v>833.33333333333337</v>
      </c>
      <c r="AA26" s="76">
        <v>1.6666666666666667</v>
      </c>
      <c r="AB26" s="76">
        <v>5</v>
      </c>
      <c r="AC26" s="76">
        <v>6.666666666666667</v>
      </c>
      <c r="AD26" s="76">
        <v>31.135902820449012</v>
      </c>
      <c r="AE26" s="76">
        <v>29.53340857778225</v>
      </c>
      <c r="AF26" s="76">
        <v>26.352313834736496</v>
      </c>
      <c r="AG26" s="76">
        <v>24.776781245530845</v>
      </c>
      <c r="AH26" s="76">
        <v>21.666666666666668</v>
      </c>
      <c r="AI26" s="76">
        <v>11.180339887498949</v>
      </c>
      <c r="AJ26" s="76">
        <v>8.3333333333333339</v>
      </c>
      <c r="AK26" s="76">
        <v>8.4983658559879753</v>
      </c>
      <c r="AL26" s="76">
        <v>9.7182531580755018</v>
      </c>
      <c r="AM26" s="76">
        <v>10.671873729054749</v>
      </c>
      <c r="AY26" s="77"/>
      <c r="BB26" s="82"/>
      <c r="BC26" s="82"/>
      <c r="BD26" s="82"/>
      <c r="BE26" s="82"/>
      <c r="BF26" s="82"/>
      <c r="BG26" s="82"/>
      <c r="BH26" s="82"/>
      <c r="BP26" s="82"/>
      <c r="BQ26" s="82"/>
      <c r="BR26" s="82"/>
      <c r="BS26" s="82"/>
      <c r="CB26" s="59">
        <f t="shared" si="6"/>
        <v>20.647317704609037</v>
      </c>
      <c r="CC26" s="59">
        <f t="shared" si="6"/>
        <v>31.334761590773553</v>
      </c>
      <c r="CD26" s="59">
        <f t="shared" si="6"/>
        <v>29.981990479059586</v>
      </c>
      <c r="CE26" s="59">
        <f t="shared" si="6"/>
        <v>27.287337089428473</v>
      </c>
      <c r="CF26" s="59">
        <f t="shared" si="6"/>
        <v>25.946585683707511</v>
      </c>
      <c r="CG26" s="59">
        <f t="shared" si="6"/>
        <v>23.282020297555853</v>
      </c>
      <c r="CH26" s="59">
        <f t="shared" si="6"/>
        <v>10.847568994314798</v>
      </c>
      <c r="CI26" s="59">
        <f t="shared" si="6"/>
        <v>8.8932281075456245</v>
      </c>
      <c r="CJ26" s="59">
        <f t="shared" si="6"/>
        <v>8.0985442983962521</v>
      </c>
      <c r="CK26" s="59">
        <f t="shared" si="6"/>
        <v>7.0819715466566464</v>
      </c>
      <c r="CL26" s="59">
        <f t="shared" si="6"/>
        <v>6.9444444444444455</v>
      </c>
      <c r="CM26" s="59">
        <f t="shared" si="6"/>
        <v>30.555555555555561</v>
      </c>
      <c r="CN26" s="59">
        <f t="shared" si="6"/>
        <v>29.166666666666668</v>
      </c>
      <c r="CO26" s="59">
        <f t="shared" si="6"/>
        <v>26.388888888888889</v>
      </c>
      <c r="CP26" s="59">
        <f t="shared" si="6"/>
        <v>25</v>
      </c>
      <c r="CQ26" s="59">
        <f t="shared" si="6"/>
        <v>22.222222222222225</v>
      </c>
      <c r="CR26" s="59">
        <f t="shared" si="5"/>
        <v>8.3333333333333339</v>
      </c>
      <c r="CS26" s="59">
        <f t="shared" si="5"/>
        <v>5.5555555555555562</v>
      </c>
      <c r="CT26" s="59">
        <f t="shared" si="5"/>
        <v>4.166666666666667</v>
      </c>
      <c r="CU26" s="59">
        <f t="shared" si="5"/>
        <v>1.3888888888888891</v>
      </c>
      <c r="CV26" s="59">
        <f t="shared" si="5"/>
        <v>694.44444444444446</v>
      </c>
      <c r="CW26" s="59">
        <f t="shared" si="5"/>
        <v>31.334761590773553</v>
      </c>
      <c r="CX26" s="59">
        <f t="shared" si="5"/>
        <v>29.981990479059586</v>
      </c>
      <c r="CY26" s="59">
        <f t="shared" si="5"/>
        <v>27.287337089428473</v>
      </c>
      <c r="CZ26" s="59">
        <f t="shared" si="5"/>
        <v>25.946585683707511</v>
      </c>
      <c r="DA26" s="59">
        <f t="shared" si="5"/>
        <v>23.282020297555853</v>
      </c>
      <c r="DB26" s="59">
        <f t="shared" si="5"/>
        <v>8.4482812920808605</v>
      </c>
      <c r="DC26" s="59">
        <f t="shared" si="5"/>
        <v>8.8932281075456245</v>
      </c>
      <c r="DD26" s="59">
        <f t="shared" si="5"/>
        <v>8.0985442983962521</v>
      </c>
      <c r="DE26" s="59">
        <f t="shared" si="5"/>
        <v>7.0819715466566464</v>
      </c>
      <c r="DF26" s="59">
        <f t="shared" si="5"/>
        <v>6.9444444444444455</v>
      </c>
    </row>
    <row r="27" spans="4:110" ht="14.45" customHeight="1" x14ac:dyDescent="0.25">
      <c r="D27" s="75" t="s">
        <v>50</v>
      </c>
      <c r="E27" s="70">
        <v>19</v>
      </c>
      <c r="F27" s="70">
        <v>16</v>
      </c>
      <c r="G27" s="70">
        <v>20</v>
      </c>
      <c r="I27" s="76">
        <v>21.343747458109497</v>
      </c>
      <c r="J27" s="76">
        <v>32.744804507314164</v>
      </c>
      <c r="K27" s="76">
        <v>31.135902820449012</v>
      </c>
      <c r="L27" s="76">
        <v>27.938424357067021</v>
      </c>
      <c r="M27" s="76">
        <v>26.352313834736496</v>
      </c>
      <c r="N27" s="76">
        <v>23.213980461973534</v>
      </c>
      <c r="O27" s="76">
        <v>9.7182531580755018</v>
      </c>
      <c r="P27" s="76">
        <v>8.4983658559879753</v>
      </c>
      <c r="Q27" s="76">
        <v>8.3333333333333339</v>
      </c>
      <c r="R27" s="76">
        <v>8.9752746785575059</v>
      </c>
      <c r="S27" s="76">
        <v>9.7182531580755018</v>
      </c>
      <c r="T27" s="76">
        <v>31.666666666666668</v>
      </c>
      <c r="U27" s="76">
        <v>30</v>
      </c>
      <c r="V27" s="76">
        <v>26.666666666666668</v>
      </c>
      <c r="W27" s="76">
        <v>25</v>
      </c>
      <c r="X27" s="76">
        <v>21.666666666666668</v>
      </c>
      <c r="Y27" s="76">
        <v>5</v>
      </c>
      <c r="Z27" s="76">
        <v>1.6666666666666667</v>
      </c>
      <c r="AA27" s="76">
        <v>833.33333333333337</v>
      </c>
      <c r="AB27" s="76">
        <v>3.3333333333333335</v>
      </c>
      <c r="AC27" s="76">
        <v>5</v>
      </c>
      <c r="AD27" s="76">
        <v>32.744804507314164</v>
      </c>
      <c r="AE27" s="76">
        <v>31.135902820449012</v>
      </c>
      <c r="AF27" s="76">
        <v>27.938424357067021</v>
      </c>
      <c r="AG27" s="76">
        <v>26.352313834736496</v>
      </c>
      <c r="AH27" s="76">
        <v>23.213980461973534</v>
      </c>
      <c r="AI27" s="76">
        <v>10.540925533894599</v>
      </c>
      <c r="AJ27" s="76">
        <v>8.4983658559879753</v>
      </c>
      <c r="AK27" s="76">
        <v>8.3333333333333339</v>
      </c>
      <c r="AL27" s="76">
        <v>8.9752746785575059</v>
      </c>
      <c r="AM27" s="76">
        <v>9.7182531580755018</v>
      </c>
      <c r="AY27" s="77"/>
      <c r="BB27" s="82"/>
      <c r="BC27" s="82"/>
      <c r="BD27" s="82"/>
      <c r="BE27" s="82"/>
      <c r="BF27" s="82"/>
      <c r="BG27" s="82"/>
      <c r="BH27" s="82"/>
      <c r="BP27" s="82">
        <f>[2]Max!BF28</f>
        <v>12313.80085623326</v>
      </c>
      <c r="BQ27" s="82"/>
      <c r="BR27" s="104">
        <f>(BF28-BP27)/BF28</f>
        <v>-1.1430965152322199</v>
      </c>
      <c r="BS27" s="104"/>
      <c r="CB27" s="59">
        <f t="shared" si="6"/>
        <v>25.83482671908094</v>
      </c>
      <c r="CC27" s="59">
        <f t="shared" si="6"/>
        <v>13.888888888888891</v>
      </c>
      <c r="CD27" s="59">
        <f t="shared" si="6"/>
        <v>13.958160584890127</v>
      </c>
      <c r="CE27" s="59">
        <f t="shared" si="6"/>
        <v>14.500425706820209</v>
      </c>
      <c r="CF27" s="59">
        <f t="shared" si="6"/>
        <v>14.958791130929177</v>
      </c>
      <c r="CG27" s="59">
        <f t="shared" si="6"/>
        <v>16.197088596792504</v>
      </c>
      <c r="CH27" s="59">
        <f t="shared" si="6"/>
        <v>26.205503144601675</v>
      </c>
      <c r="CI27" s="59">
        <f t="shared" si="6"/>
        <v>28.59897261385278</v>
      </c>
      <c r="CJ27" s="59">
        <f t="shared" si="6"/>
        <v>29.820709102199846</v>
      </c>
      <c r="CK27" s="59">
        <f t="shared" si="6"/>
        <v>32.304731526702803</v>
      </c>
      <c r="CL27" s="59">
        <f t="shared" si="6"/>
        <v>33.564016593318257</v>
      </c>
      <c r="CM27" s="59">
        <f t="shared" si="6"/>
        <v>6.9444444444444455</v>
      </c>
      <c r="CN27" s="59">
        <f t="shared" si="6"/>
        <v>7.0819715466566464</v>
      </c>
      <c r="CO27" s="59">
        <f t="shared" si="6"/>
        <v>8.0985442983962521</v>
      </c>
      <c r="CP27" s="59">
        <f t="shared" si="6"/>
        <v>8.8932281075456245</v>
      </c>
      <c r="CQ27" s="59">
        <f t="shared" si="6"/>
        <v>10.847568994314798</v>
      </c>
      <c r="CR27" s="59">
        <f t="shared" si="5"/>
        <v>23.282020297555853</v>
      </c>
      <c r="CS27" s="59">
        <f t="shared" si="5"/>
        <v>25.946585683707511</v>
      </c>
      <c r="CT27" s="59">
        <f t="shared" si="5"/>
        <v>27.287337089428473</v>
      </c>
      <c r="CU27" s="59">
        <f t="shared" si="5"/>
        <v>29.981990479059586</v>
      </c>
      <c r="CV27" s="59">
        <f t="shared" si="5"/>
        <v>31.334761590773553</v>
      </c>
      <c r="CW27" s="59">
        <f t="shared" si="5"/>
        <v>694.44444444444446</v>
      </c>
      <c r="CX27" s="59">
        <f t="shared" si="5"/>
        <v>1.3888888888888891</v>
      </c>
      <c r="CY27" s="59">
        <f t="shared" si="5"/>
        <v>4.166666666666667</v>
      </c>
      <c r="CZ27" s="59">
        <f t="shared" si="5"/>
        <v>5.5555555555555562</v>
      </c>
      <c r="DA27" s="59">
        <f t="shared" si="5"/>
        <v>8.3333333333333339</v>
      </c>
      <c r="DB27" s="59">
        <f t="shared" si="5"/>
        <v>29.199716724484222</v>
      </c>
      <c r="DC27" s="59">
        <f t="shared" si="5"/>
        <v>25</v>
      </c>
      <c r="DD27" s="59">
        <f t="shared" si="5"/>
        <v>26.388888888888889</v>
      </c>
      <c r="DE27" s="59">
        <f t="shared" si="5"/>
        <v>29.166666666666668</v>
      </c>
      <c r="DF27" s="59">
        <f t="shared" si="5"/>
        <v>30.555555555555561</v>
      </c>
    </row>
    <row r="28" spans="4:110" ht="14.45" customHeight="1" x14ac:dyDescent="0.25">
      <c r="D28" s="75" t="s">
        <v>51</v>
      </c>
      <c r="E28" s="70">
        <v>20</v>
      </c>
      <c r="F28" s="70">
        <v>20</v>
      </c>
      <c r="G28" s="70">
        <v>20</v>
      </c>
      <c r="I28" s="76">
        <v>23.570226039551585</v>
      </c>
      <c r="J28" s="76">
        <v>35.978388574871502</v>
      </c>
      <c r="K28" s="76">
        <v>34.359213546813841</v>
      </c>
      <c r="L28" s="76">
        <v>31.135902820449012</v>
      </c>
      <c r="M28" s="76">
        <v>29.53340857778225</v>
      </c>
      <c r="N28" s="76">
        <v>26.352313834736496</v>
      </c>
      <c r="O28" s="76">
        <v>11.785113019775793</v>
      </c>
      <c r="P28" s="76">
        <v>9.7182531580755018</v>
      </c>
      <c r="Q28" s="76">
        <v>8.9752746785575059</v>
      </c>
      <c r="R28" s="76">
        <v>8.3333333333333339</v>
      </c>
      <c r="S28" s="76">
        <v>8.4983658559879753</v>
      </c>
      <c r="T28" s="76">
        <v>35</v>
      </c>
      <c r="U28" s="76">
        <v>33.333333333333336</v>
      </c>
      <c r="V28" s="76">
        <v>30</v>
      </c>
      <c r="W28" s="76">
        <v>28.333333333333336</v>
      </c>
      <c r="X28" s="76">
        <v>25</v>
      </c>
      <c r="Y28" s="76">
        <v>8.3333333333333339</v>
      </c>
      <c r="Z28" s="76">
        <v>5</v>
      </c>
      <c r="AA28" s="76">
        <v>3.3333333333333335</v>
      </c>
      <c r="AB28" s="76">
        <v>833.33333333333337</v>
      </c>
      <c r="AC28" s="76">
        <v>1.6666666666666667</v>
      </c>
      <c r="AD28" s="76">
        <v>35.978388574871502</v>
      </c>
      <c r="AE28" s="76">
        <v>34.359213546813841</v>
      </c>
      <c r="AF28" s="76">
        <v>31.135902820449012</v>
      </c>
      <c r="AG28" s="76">
        <v>29.53340857778225</v>
      </c>
      <c r="AH28" s="76">
        <v>26.352313834736496</v>
      </c>
      <c r="AI28" s="76">
        <v>10</v>
      </c>
      <c r="AJ28" s="76">
        <v>9.7182531580755018</v>
      </c>
      <c r="AK28" s="76">
        <v>8.9752746785575059</v>
      </c>
      <c r="AL28" s="76">
        <v>8.3333333333333339</v>
      </c>
      <c r="AM28" s="76">
        <v>8.4983658559879753</v>
      </c>
      <c r="AY28" s="77"/>
      <c r="BB28" s="105" t="s">
        <v>18</v>
      </c>
      <c r="BC28" s="105"/>
      <c r="BD28" s="105"/>
      <c r="BE28" s="105"/>
      <c r="BF28" s="82">
        <f>BF25*BF21*8</f>
        <v>5745.7985530338892</v>
      </c>
      <c r="BG28" s="82"/>
      <c r="BH28" s="82"/>
      <c r="BP28" s="82"/>
      <c r="BQ28" s="82"/>
      <c r="BR28" s="104"/>
      <c r="BS28" s="104"/>
      <c r="CB28" s="59">
        <f t="shared" si="6"/>
        <v>25.038550524055481</v>
      </c>
      <c r="CC28" s="59">
        <f t="shared" si="6"/>
        <v>13.958160584890127</v>
      </c>
      <c r="CD28" s="59">
        <f t="shared" si="6"/>
        <v>13.888888888888891</v>
      </c>
      <c r="CE28" s="59">
        <f t="shared" si="6"/>
        <v>14.163943093313293</v>
      </c>
      <c r="CF28" s="59">
        <f t="shared" si="6"/>
        <v>14.500425706820209</v>
      </c>
      <c r="CG28" s="59">
        <f t="shared" si="6"/>
        <v>15.528249843748542</v>
      </c>
      <c r="CH28" s="59">
        <f t="shared" si="6"/>
        <v>25.038550524055481</v>
      </c>
      <c r="CI28" s="59">
        <f t="shared" si="6"/>
        <v>27.393170726827812</v>
      </c>
      <c r="CJ28" s="59">
        <f t="shared" si="6"/>
        <v>28.59897261385278</v>
      </c>
      <c r="CK28" s="59">
        <f t="shared" si="6"/>
        <v>31.056499687497084</v>
      </c>
      <c r="CL28" s="59">
        <f t="shared" si="6"/>
        <v>32.304731526702803</v>
      </c>
      <c r="CM28" s="59">
        <f t="shared" si="6"/>
        <v>7.0819715466566464</v>
      </c>
      <c r="CN28" s="59">
        <f t="shared" si="6"/>
        <v>6.9444444444444455</v>
      </c>
      <c r="CO28" s="59">
        <f t="shared" si="6"/>
        <v>7.4793955654645883</v>
      </c>
      <c r="CP28" s="59">
        <f t="shared" si="6"/>
        <v>8.0985442983962521</v>
      </c>
      <c r="CQ28" s="59">
        <f t="shared" si="6"/>
        <v>9.8209275164798271</v>
      </c>
      <c r="CR28" s="59">
        <f t="shared" si="5"/>
        <v>21.960261528947079</v>
      </c>
      <c r="CS28" s="59">
        <f t="shared" si="5"/>
        <v>24.611173814818542</v>
      </c>
      <c r="CT28" s="59">
        <f t="shared" si="5"/>
        <v>25.946585683707511</v>
      </c>
      <c r="CU28" s="59">
        <f t="shared" si="5"/>
        <v>28.632677955678201</v>
      </c>
      <c r="CV28" s="59">
        <f t="shared" si="5"/>
        <v>29.981990479059586</v>
      </c>
      <c r="CW28" s="59">
        <f t="shared" si="5"/>
        <v>1.3888888888888891</v>
      </c>
      <c r="CX28" s="59">
        <f t="shared" si="5"/>
        <v>694.44444444444446</v>
      </c>
      <c r="CY28" s="59">
        <f t="shared" si="5"/>
        <v>2.7777777777777781</v>
      </c>
      <c r="CZ28" s="59">
        <f t="shared" si="5"/>
        <v>4.166666666666667</v>
      </c>
      <c r="DA28" s="59">
        <f t="shared" si="5"/>
        <v>6.9444444444444455</v>
      </c>
      <c r="DB28" s="59">
        <f t="shared" si="5"/>
        <v>27.81247832569554</v>
      </c>
      <c r="DC28" s="59">
        <f t="shared" si="5"/>
        <v>23.611111111111114</v>
      </c>
      <c r="DD28" s="59">
        <f t="shared" si="5"/>
        <v>25</v>
      </c>
      <c r="DE28" s="59">
        <f t="shared" si="5"/>
        <v>27.777777777777782</v>
      </c>
      <c r="DF28" s="59">
        <f t="shared" si="5"/>
        <v>29.166666666666668</v>
      </c>
    </row>
    <row r="29" spans="4:110" x14ac:dyDescent="0.25">
      <c r="D29" s="75" t="s">
        <v>52</v>
      </c>
      <c r="E29" s="70">
        <v>21</v>
      </c>
      <c r="F29" s="70">
        <v>22</v>
      </c>
      <c r="G29" s="70">
        <v>20</v>
      </c>
      <c r="I29" s="76">
        <v>24.776781245530845</v>
      </c>
      <c r="J29" s="76">
        <v>37.601713908928261</v>
      </c>
      <c r="K29" s="76">
        <v>35.978388574871502</v>
      </c>
      <c r="L29" s="76">
        <v>32.744804507314164</v>
      </c>
      <c r="M29" s="76">
        <v>31.135902820449012</v>
      </c>
      <c r="N29" s="76">
        <v>27.938424357067021</v>
      </c>
      <c r="O29" s="76">
        <v>13.017082793177757</v>
      </c>
      <c r="P29" s="76">
        <v>10.671873729054749</v>
      </c>
      <c r="Q29" s="76">
        <v>9.7182531580755018</v>
      </c>
      <c r="R29" s="76">
        <v>8.4983658559879753</v>
      </c>
      <c r="S29" s="76">
        <v>8.3333333333333339</v>
      </c>
      <c r="T29" s="76">
        <v>36.666666666666671</v>
      </c>
      <c r="U29" s="76">
        <v>35</v>
      </c>
      <c r="V29" s="76">
        <v>31.666666666666668</v>
      </c>
      <c r="W29" s="76">
        <v>30</v>
      </c>
      <c r="X29" s="76">
        <v>26.666666666666668</v>
      </c>
      <c r="Y29" s="76">
        <v>10</v>
      </c>
      <c r="Z29" s="76">
        <v>6.666666666666667</v>
      </c>
      <c r="AA29" s="76">
        <v>5</v>
      </c>
      <c r="AB29" s="76">
        <v>1.6666666666666667</v>
      </c>
      <c r="AC29" s="76">
        <v>833.33333333333337</v>
      </c>
      <c r="AD29" s="76">
        <v>37.601713908928261</v>
      </c>
      <c r="AE29" s="76">
        <v>35.978388574871502</v>
      </c>
      <c r="AF29" s="76">
        <v>32.744804507314164</v>
      </c>
      <c r="AG29" s="76">
        <v>31.135902820449012</v>
      </c>
      <c r="AH29" s="76">
        <v>27.938424357067021</v>
      </c>
      <c r="AI29" s="76">
        <v>10.137937550497032</v>
      </c>
      <c r="AJ29" s="76">
        <v>10.671873729054749</v>
      </c>
      <c r="AK29" s="76">
        <v>9.7182531580755018</v>
      </c>
      <c r="AL29" s="76">
        <v>8.4983658559879753</v>
      </c>
      <c r="AM29" s="76">
        <v>8.3333333333333339</v>
      </c>
      <c r="AY29" s="77"/>
      <c r="BB29" s="105"/>
      <c r="BC29" s="105"/>
      <c r="BD29" s="105"/>
      <c r="BE29" s="105"/>
      <c r="BF29" s="82"/>
      <c r="BG29" s="82"/>
      <c r="BH29" s="82"/>
      <c r="BP29" s="82"/>
      <c r="BQ29" s="82"/>
      <c r="BR29" s="104"/>
      <c r="BS29" s="104"/>
      <c r="CB29" s="59">
        <f t="shared" si="6"/>
        <v>23.611111111111114</v>
      </c>
      <c r="CC29" s="59">
        <f t="shared" si="6"/>
        <v>14.500425706820209</v>
      </c>
      <c r="CD29" s="59">
        <f t="shared" si="6"/>
        <v>14.163943093313293</v>
      </c>
      <c r="CE29" s="59">
        <f t="shared" si="6"/>
        <v>13.888888888888891</v>
      </c>
      <c r="CF29" s="59">
        <f t="shared" si="6"/>
        <v>13.958160584890127</v>
      </c>
      <c r="CG29" s="59">
        <f t="shared" si="6"/>
        <v>14.500425706820209</v>
      </c>
      <c r="CH29" s="59">
        <f t="shared" si="6"/>
        <v>22.779471481745453</v>
      </c>
      <c r="CI29" s="59">
        <f t="shared" si="6"/>
        <v>25.038550524055481</v>
      </c>
      <c r="CJ29" s="59">
        <f t="shared" si="6"/>
        <v>26.205503144601675</v>
      </c>
      <c r="CK29" s="59">
        <f t="shared" si="6"/>
        <v>28.59897261385278</v>
      </c>
      <c r="CL29" s="59">
        <f t="shared" si="6"/>
        <v>29.820709102199846</v>
      </c>
      <c r="CM29" s="59">
        <f t="shared" si="6"/>
        <v>8.0985442983962521</v>
      </c>
      <c r="CN29" s="59">
        <f t="shared" si="6"/>
        <v>7.4793955654645883</v>
      </c>
      <c r="CO29" s="59">
        <f t="shared" si="6"/>
        <v>6.9444444444444455</v>
      </c>
      <c r="CP29" s="59">
        <f t="shared" si="6"/>
        <v>7.0819715466566464</v>
      </c>
      <c r="CQ29" s="59">
        <f t="shared" si="6"/>
        <v>8.0985442983962521</v>
      </c>
      <c r="CR29" s="59">
        <f t="shared" si="5"/>
        <v>19.34498371831128</v>
      </c>
      <c r="CS29" s="59">
        <f t="shared" si="5"/>
        <v>21.960261528947079</v>
      </c>
      <c r="CT29" s="59">
        <f t="shared" si="5"/>
        <v>23.282020297555853</v>
      </c>
      <c r="CU29" s="59">
        <f t="shared" si="5"/>
        <v>25.946585683707511</v>
      </c>
      <c r="CV29" s="59">
        <f t="shared" si="5"/>
        <v>27.287337089428473</v>
      </c>
      <c r="CW29" s="59">
        <f t="shared" si="5"/>
        <v>4.166666666666667</v>
      </c>
      <c r="CX29" s="59">
        <f t="shared" si="5"/>
        <v>2.7777777777777781</v>
      </c>
      <c r="CY29" s="59">
        <f t="shared" si="5"/>
        <v>694.44444444444446</v>
      </c>
      <c r="CZ29" s="59">
        <f t="shared" si="5"/>
        <v>1.3888888888888891</v>
      </c>
      <c r="DA29" s="59">
        <f t="shared" si="5"/>
        <v>4.166666666666667</v>
      </c>
      <c r="DB29" s="59">
        <f t="shared" si="5"/>
        <v>25.038550524055481</v>
      </c>
      <c r="DC29" s="59">
        <f t="shared" si="5"/>
        <v>20.833333333333336</v>
      </c>
      <c r="DD29" s="59">
        <f t="shared" si="5"/>
        <v>22.222222222222225</v>
      </c>
      <c r="DE29" s="59">
        <f t="shared" si="5"/>
        <v>25</v>
      </c>
      <c r="DF29" s="59">
        <f t="shared" si="5"/>
        <v>26.388888888888889</v>
      </c>
    </row>
    <row r="30" spans="4:110" x14ac:dyDescent="0.25">
      <c r="D30" s="75" t="s">
        <v>53</v>
      </c>
      <c r="E30" s="70">
        <v>22</v>
      </c>
      <c r="F30" s="70">
        <v>-22</v>
      </c>
      <c r="G30" s="70">
        <v>30</v>
      </c>
      <c r="I30" s="76">
        <v>31.001792062897128</v>
      </c>
      <c r="J30" s="76">
        <v>16.666666666666668</v>
      </c>
      <c r="K30" s="76">
        <v>16.749792701868152</v>
      </c>
      <c r="L30" s="76">
        <v>17.400510848184251</v>
      </c>
      <c r="M30" s="76">
        <v>17.950549357115012</v>
      </c>
      <c r="N30" s="76">
        <v>19.436506316151004</v>
      </c>
      <c r="O30" s="76">
        <v>31.446603773522011</v>
      </c>
      <c r="P30" s="76">
        <v>34.318767136623336</v>
      </c>
      <c r="Q30" s="76">
        <v>35.784850922639812</v>
      </c>
      <c r="R30" s="76">
        <v>38.765677832043359</v>
      </c>
      <c r="S30" s="76">
        <v>40.27681991198191</v>
      </c>
      <c r="T30" s="76">
        <v>8.3333333333333339</v>
      </c>
      <c r="U30" s="76">
        <v>8.4983658559879753</v>
      </c>
      <c r="V30" s="76">
        <v>9.7182531580755018</v>
      </c>
      <c r="W30" s="76">
        <v>10.671873729054749</v>
      </c>
      <c r="X30" s="76">
        <v>13.017082793177757</v>
      </c>
      <c r="Y30" s="76">
        <v>27.938424357067021</v>
      </c>
      <c r="Z30" s="76">
        <v>31.135902820449012</v>
      </c>
      <c r="AA30" s="76">
        <v>32.744804507314164</v>
      </c>
      <c r="AB30" s="76">
        <v>35.978388574871502</v>
      </c>
      <c r="AC30" s="76">
        <v>37.601713908928261</v>
      </c>
      <c r="AD30" s="76">
        <v>833.33333333333337</v>
      </c>
      <c r="AE30" s="76">
        <v>1.6666666666666667</v>
      </c>
      <c r="AF30" s="76">
        <v>5</v>
      </c>
      <c r="AG30" s="76">
        <v>6.666666666666667</v>
      </c>
      <c r="AH30" s="76">
        <v>10</v>
      </c>
      <c r="AI30" s="76">
        <v>35.039660069381064</v>
      </c>
      <c r="AJ30" s="76">
        <v>30</v>
      </c>
      <c r="AK30" s="76">
        <v>31.666666666666668</v>
      </c>
      <c r="AL30" s="76">
        <v>35</v>
      </c>
      <c r="AM30" s="76">
        <v>36.666666666666671</v>
      </c>
      <c r="AY30" s="77"/>
      <c r="BB30" s="105"/>
      <c r="BC30" s="105"/>
      <c r="BD30" s="105"/>
      <c r="BE30" s="105"/>
      <c r="BF30" s="82"/>
      <c r="BG30" s="82"/>
      <c r="BH30" s="82"/>
      <c r="CB30" s="59">
        <f t="shared" si="6"/>
        <v>22.990201885065069</v>
      </c>
      <c r="CC30" s="59">
        <f t="shared" si="6"/>
        <v>14.958791130929177</v>
      </c>
      <c r="CD30" s="59">
        <f t="shared" si="6"/>
        <v>14.500425706820209</v>
      </c>
      <c r="CE30" s="59">
        <f t="shared" si="6"/>
        <v>13.958160584890127</v>
      </c>
      <c r="CF30" s="59">
        <f t="shared" si="6"/>
        <v>13.888888888888891</v>
      </c>
      <c r="CG30" s="59">
        <f t="shared" si="6"/>
        <v>14.163943093313293</v>
      </c>
      <c r="CH30" s="59">
        <f t="shared" si="6"/>
        <v>21.695137988629597</v>
      </c>
      <c r="CI30" s="59">
        <f t="shared" si="6"/>
        <v>23.895347964007296</v>
      </c>
      <c r="CJ30" s="59">
        <f t="shared" si="6"/>
        <v>25.038550524055481</v>
      </c>
      <c r="CK30" s="59">
        <f t="shared" si="6"/>
        <v>27.393170726827812</v>
      </c>
      <c r="CL30" s="59">
        <f t="shared" si="6"/>
        <v>28.59897261385278</v>
      </c>
      <c r="CM30" s="59">
        <f t="shared" si="6"/>
        <v>8.8932281075456245</v>
      </c>
      <c r="CN30" s="59">
        <f t="shared" si="6"/>
        <v>8.0985442983962521</v>
      </c>
      <c r="CO30" s="59">
        <f t="shared" si="6"/>
        <v>7.0819715466566464</v>
      </c>
      <c r="CP30" s="59">
        <f t="shared" si="6"/>
        <v>6.9444444444444455</v>
      </c>
      <c r="CQ30" s="59">
        <f t="shared" si="6"/>
        <v>7.4793955654645883</v>
      </c>
      <c r="CR30" s="59">
        <f t="shared" si="5"/>
        <v>18.055555555555557</v>
      </c>
      <c r="CS30" s="59">
        <f t="shared" si="5"/>
        <v>20.647317704609037</v>
      </c>
      <c r="CT30" s="59">
        <f t="shared" si="5"/>
        <v>21.960261528947079</v>
      </c>
      <c r="CU30" s="59">
        <f t="shared" si="5"/>
        <v>24.611173814818542</v>
      </c>
      <c r="CV30" s="59">
        <f t="shared" si="5"/>
        <v>25.946585683707511</v>
      </c>
      <c r="CW30" s="59">
        <f t="shared" si="5"/>
        <v>5.5555555555555562</v>
      </c>
      <c r="CX30" s="59">
        <f t="shared" si="5"/>
        <v>4.166666666666667</v>
      </c>
      <c r="CY30" s="59">
        <f t="shared" si="5"/>
        <v>1.3888888888888891</v>
      </c>
      <c r="CZ30" s="59">
        <f t="shared" si="5"/>
        <v>694.44444444444446</v>
      </c>
      <c r="DA30" s="59">
        <f t="shared" si="5"/>
        <v>2.7777777777777781</v>
      </c>
      <c r="DB30" s="59">
        <f t="shared" si="5"/>
        <v>23.651925508231116</v>
      </c>
      <c r="DC30" s="59">
        <f t="shared" si="5"/>
        <v>19.444444444444446</v>
      </c>
      <c r="DD30" s="59">
        <f t="shared" si="5"/>
        <v>20.833333333333336</v>
      </c>
      <c r="DE30" s="59">
        <f t="shared" si="5"/>
        <v>23.611111111111114</v>
      </c>
      <c r="DF30" s="59">
        <f t="shared" si="5"/>
        <v>25</v>
      </c>
    </row>
    <row r="31" spans="4:110" x14ac:dyDescent="0.25">
      <c r="D31" s="75" t="s">
        <v>54</v>
      </c>
      <c r="E31" s="70">
        <v>23</v>
      </c>
      <c r="F31" s="70">
        <v>-20</v>
      </c>
      <c r="G31" s="70">
        <v>30</v>
      </c>
      <c r="I31" s="76">
        <v>30.046260628866577</v>
      </c>
      <c r="J31" s="76">
        <v>16.749792701868152</v>
      </c>
      <c r="K31" s="76">
        <v>16.666666666666668</v>
      </c>
      <c r="L31" s="76">
        <v>16.996731711975951</v>
      </c>
      <c r="M31" s="76">
        <v>17.400510848184251</v>
      </c>
      <c r="N31" s="76">
        <v>18.63389981249825</v>
      </c>
      <c r="O31" s="76">
        <v>30.046260628866577</v>
      </c>
      <c r="P31" s="76">
        <v>32.871804872193373</v>
      </c>
      <c r="Q31" s="76">
        <v>34.318767136623336</v>
      </c>
      <c r="R31" s="76">
        <v>37.267799624996499</v>
      </c>
      <c r="S31" s="76">
        <v>38.765677832043359</v>
      </c>
      <c r="T31" s="76">
        <v>8.4983658559879753</v>
      </c>
      <c r="U31" s="76">
        <v>8.3333333333333339</v>
      </c>
      <c r="V31" s="76">
        <v>8.9752746785575059</v>
      </c>
      <c r="W31" s="76">
        <v>9.7182531580755018</v>
      </c>
      <c r="X31" s="76">
        <v>11.785113019775793</v>
      </c>
      <c r="Y31" s="76">
        <v>26.352313834736496</v>
      </c>
      <c r="Z31" s="76">
        <v>29.53340857778225</v>
      </c>
      <c r="AA31" s="76">
        <v>31.135902820449012</v>
      </c>
      <c r="AB31" s="76">
        <v>34.359213546813841</v>
      </c>
      <c r="AC31" s="76">
        <v>35.978388574871502</v>
      </c>
      <c r="AD31" s="76">
        <v>1.6666666666666667</v>
      </c>
      <c r="AE31" s="76">
        <v>833.33333333333337</v>
      </c>
      <c r="AF31" s="76">
        <v>3.3333333333333335</v>
      </c>
      <c r="AG31" s="76">
        <v>5</v>
      </c>
      <c r="AH31" s="76">
        <v>8.3333333333333339</v>
      </c>
      <c r="AI31" s="76">
        <v>33.374973990834647</v>
      </c>
      <c r="AJ31" s="76">
        <v>28.333333333333336</v>
      </c>
      <c r="AK31" s="76">
        <v>30</v>
      </c>
      <c r="AL31" s="76">
        <v>33.333333333333336</v>
      </c>
      <c r="AM31" s="76">
        <v>35</v>
      </c>
      <c r="AY31" s="77"/>
      <c r="CB31" s="59">
        <f t="shared" si="6"/>
        <v>21.960261528947079</v>
      </c>
      <c r="CC31" s="59">
        <f t="shared" si="6"/>
        <v>16.197088596792504</v>
      </c>
      <c r="CD31" s="59">
        <f t="shared" si="6"/>
        <v>15.528249843748542</v>
      </c>
      <c r="CE31" s="59">
        <f t="shared" si="6"/>
        <v>14.500425706820209</v>
      </c>
      <c r="CF31" s="59">
        <f t="shared" si="6"/>
        <v>14.163943093313293</v>
      </c>
      <c r="CG31" s="59">
        <f t="shared" si="6"/>
        <v>13.888888888888891</v>
      </c>
      <c r="CH31" s="59">
        <f t="shared" si="6"/>
        <v>19.641855032959654</v>
      </c>
      <c r="CI31" s="59">
        <f t="shared" si="6"/>
        <v>21.695137988629597</v>
      </c>
      <c r="CJ31" s="59">
        <f t="shared" si="6"/>
        <v>22.779471481745453</v>
      </c>
      <c r="CK31" s="59">
        <f t="shared" si="6"/>
        <v>25.038550524055481</v>
      </c>
      <c r="CL31" s="59">
        <f t="shared" si="6"/>
        <v>26.205503144601675</v>
      </c>
      <c r="CM31" s="59">
        <f t="shared" si="6"/>
        <v>10.847568994314798</v>
      </c>
      <c r="CN31" s="59">
        <f t="shared" si="6"/>
        <v>9.8209275164798271</v>
      </c>
      <c r="CO31" s="59">
        <f t="shared" si="6"/>
        <v>8.0985442983962521</v>
      </c>
      <c r="CP31" s="59">
        <f t="shared" si="6"/>
        <v>7.4793955654645883</v>
      </c>
      <c r="CQ31" s="59">
        <f t="shared" si="6"/>
        <v>6.9444444444444455</v>
      </c>
      <c r="CR31" s="59">
        <f t="shared" si="5"/>
        <v>15.528249843748542</v>
      </c>
      <c r="CS31" s="59">
        <f t="shared" si="5"/>
        <v>18.055555555555557</v>
      </c>
      <c r="CT31" s="59">
        <f t="shared" si="5"/>
        <v>19.34498371831128</v>
      </c>
      <c r="CU31" s="59">
        <f t="shared" si="5"/>
        <v>21.960261528947079</v>
      </c>
      <c r="CV31" s="59">
        <f t="shared" si="5"/>
        <v>23.282020297555853</v>
      </c>
      <c r="CW31" s="59">
        <f t="shared" si="5"/>
        <v>8.3333333333333339</v>
      </c>
      <c r="CX31" s="59">
        <f t="shared" si="5"/>
        <v>6.9444444444444455</v>
      </c>
      <c r="CY31" s="59">
        <f t="shared" si="5"/>
        <v>4.166666666666667</v>
      </c>
      <c r="CZ31" s="59">
        <f t="shared" si="5"/>
        <v>2.7777777777777781</v>
      </c>
      <c r="DA31" s="59">
        <f t="shared" si="5"/>
        <v>694.44444444444446</v>
      </c>
      <c r="DB31" s="59">
        <f t="shared" si="5"/>
        <v>20.879578303295709</v>
      </c>
      <c r="DC31" s="59">
        <f t="shared" si="5"/>
        <v>16.666666666666668</v>
      </c>
      <c r="DD31" s="59">
        <f t="shared" si="5"/>
        <v>18.055555555555557</v>
      </c>
      <c r="DE31" s="59">
        <f t="shared" si="5"/>
        <v>20.833333333333336</v>
      </c>
      <c r="DF31" s="59">
        <f t="shared" si="5"/>
        <v>22.222222222222225</v>
      </c>
    </row>
    <row r="32" spans="4:110" x14ac:dyDescent="0.25">
      <c r="D32" s="75" t="s">
        <v>55</v>
      </c>
      <c r="E32" s="70">
        <v>24</v>
      </c>
      <c r="F32" s="70">
        <v>-16</v>
      </c>
      <c r="G32" s="70">
        <v>30</v>
      </c>
      <c r="I32" s="76">
        <v>28.333333333333336</v>
      </c>
      <c r="J32" s="76">
        <v>17.400510848184251</v>
      </c>
      <c r="K32" s="76">
        <v>16.996731711975951</v>
      </c>
      <c r="L32" s="76">
        <v>16.666666666666668</v>
      </c>
      <c r="M32" s="76">
        <v>16.749792701868152</v>
      </c>
      <c r="N32" s="76">
        <v>17.400510848184251</v>
      </c>
      <c r="O32" s="76">
        <v>27.335365778094545</v>
      </c>
      <c r="P32" s="76">
        <v>30.046260628866577</v>
      </c>
      <c r="Q32" s="76">
        <v>31.446603773522011</v>
      </c>
      <c r="R32" s="76">
        <v>34.318767136623336</v>
      </c>
      <c r="S32" s="76">
        <v>35.784850922639812</v>
      </c>
      <c r="T32" s="76">
        <v>9.7182531580755018</v>
      </c>
      <c r="U32" s="76">
        <v>8.9752746785575059</v>
      </c>
      <c r="V32" s="76">
        <v>8.3333333333333339</v>
      </c>
      <c r="W32" s="76">
        <v>8.4983658559879753</v>
      </c>
      <c r="X32" s="76">
        <v>9.7182531580755018</v>
      </c>
      <c r="Y32" s="76">
        <v>23.213980461973534</v>
      </c>
      <c r="Z32" s="76">
        <v>26.352313834736496</v>
      </c>
      <c r="AA32" s="76">
        <v>27.938424357067021</v>
      </c>
      <c r="AB32" s="76">
        <v>31.135902820449012</v>
      </c>
      <c r="AC32" s="76">
        <v>32.744804507314164</v>
      </c>
      <c r="AD32" s="76">
        <v>5</v>
      </c>
      <c r="AE32" s="76">
        <v>3.3333333333333335</v>
      </c>
      <c r="AF32" s="76">
        <v>833.33333333333337</v>
      </c>
      <c r="AG32" s="76">
        <v>1.6666666666666667</v>
      </c>
      <c r="AH32" s="76">
        <v>5</v>
      </c>
      <c r="AI32" s="76">
        <v>30.046260628866577</v>
      </c>
      <c r="AJ32" s="76">
        <v>25</v>
      </c>
      <c r="AK32" s="76">
        <v>26.666666666666668</v>
      </c>
      <c r="AL32" s="76">
        <v>30</v>
      </c>
      <c r="AM32" s="76">
        <v>31.666666666666668</v>
      </c>
      <c r="AY32" s="77"/>
      <c r="CB32" s="59">
        <f t="shared" si="6"/>
        <v>26.205503144601675</v>
      </c>
      <c r="CC32" s="59">
        <f t="shared" si="6"/>
        <v>32.925748864249158</v>
      </c>
      <c r="CD32" s="59">
        <f t="shared" si="6"/>
        <v>31.701978362537023</v>
      </c>
      <c r="CE32" s="59">
        <f t="shared" si="6"/>
        <v>29.298643207956932</v>
      </c>
      <c r="CF32" s="59">
        <f t="shared" si="6"/>
        <v>28.122856571273044</v>
      </c>
      <c r="CG32" s="59">
        <f t="shared" si="6"/>
        <v>25.83482671908094</v>
      </c>
      <c r="CH32" s="59">
        <f t="shared" si="6"/>
        <v>16.782008296659129</v>
      </c>
      <c r="CI32" s="59">
        <f t="shared" si="6"/>
        <v>15.835769793043584</v>
      </c>
      <c r="CJ32" s="59">
        <f t="shared" si="6"/>
        <v>15.528249843748542</v>
      </c>
      <c r="CK32" s="59">
        <f t="shared" si="6"/>
        <v>15.27777777777778</v>
      </c>
      <c r="CL32" s="59">
        <f t="shared" si="6"/>
        <v>15.340779190537866</v>
      </c>
      <c r="CM32" s="59">
        <f t="shared" si="6"/>
        <v>30.333791205335494</v>
      </c>
      <c r="CN32" s="59">
        <f t="shared" si="6"/>
        <v>29.000851413640419</v>
      </c>
      <c r="CO32" s="59">
        <f t="shared" si="6"/>
        <v>26.352313834736499</v>
      </c>
      <c r="CP32" s="59">
        <f t="shared" si="6"/>
        <v>25.038550524055481</v>
      </c>
      <c r="CQ32" s="59">
        <f t="shared" si="6"/>
        <v>22.438186696393768</v>
      </c>
      <c r="CR32" s="59">
        <f t="shared" si="5"/>
        <v>10.847568994314798</v>
      </c>
      <c r="CS32" s="59">
        <f t="shared" si="5"/>
        <v>9.3169499062491248</v>
      </c>
      <c r="CT32" s="59">
        <f t="shared" si="5"/>
        <v>8.784104611578833</v>
      </c>
      <c r="CU32" s="59">
        <f t="shared" si="5"/>
        <v>8.3333333333333339</v>
      </c>
      <c r="CV32" s="59">
        <f t="shared" si="5"/>
        <v>8.4482812920808605</v>
      </c>
      <c r="CW32" s="59">
        <f t="shared" si="5"/>
        <v>29.199716724484222</v>
      </c>
      <c r="CX32" s="59">
        <f t="shared" si="5"/>
        <v>27.81247832569554</v>
      </c>
      <c r="CY32" s="59">
        <f t="shared" si="5"/>
        <v>25.038550524055481</v>
      </c>
      <c r="CZ32" s="59">
        <f t="shared" si="5"/>
        <v>23.651925508231116</v>
      </c>
      <c r="DA32" s="59">
        <f t="shared" si="5"/>
        <v>20.879578303295709</v>
      </c>
      <c r="DB32" s="59">
        <f t="shared" si="5"/>
        <v>694.44444444444446</v>
      </c>
      <c r="DC32" s="59">
        <f t="shared" si="5"/>
        <v>4.3920523057894165</v>
      </c>
      <c r="DD32" s="59">
        <f t="shared" si="5"/>
        <v>3.1056499687497081</v>
      </c>
      <c r="DE32" s="59">
        <f t="shared" si="5"/>
        <v>1.3888888888888891</v>
      </c>
      <c r="DF32" s="59">
        <f t="shared" si="5"/>
        <v>1.9641855032959654</v>
      </c>
    </row>
    <row r="33" spans="4:110" x14ac:dyDescent="0.25">
      <c r="D33" s="75" t="s">
        <v>56</v>
      </c>
      <c r="E33" s="70">
        <v>25</v>
      </c>
      <c r="F33" s="70">
        <v>-14</v>
      </c>
      <c r="G33" s="70">
        <v>30</v>
      </c>
      <c r="I33" s="76">
        <v>27.588242262078083</v>
      </c>
      <c r="J33" s="76">
        <v>17.950549357115012</v>
      </c>
      <c r="K33" s="76">
        <v>17.400510848184251</v>
      </c>
      <c r="L33" s="76">
        <v>16.749792701868152</v>
      </c>
      <c r="M33" s="76">
        <v>16.666666666666668</v>
      </c>
      <c r="N33" s="76">
        <v>16.996731711975951</v>
      </c>
      <c r="O33" s="76">
        <v>26.034165586355513</v>
      </c>
      <c r="P33" s="76">
        <v>28.674417556808756</v>
      </c>
      <c r="Q33" s="76">
        <v>30.046260628866577</v>
      </c>
      <c r="R33" s="76">
        <v>32.871804872193373</v>
      </c>
      <c r="S33" s="76">
        <v>34.318767136623336</v>
      </c>
      <c r="T33" s="76">
        <v>10.671873729054749</v>
      </c>
      <c r="U33" s="76">
        <v>9.7182531580755018</v>
      </c>
      <c r="V33" s="76">
        <v>8.4983658559879753</v>
      </c>
      <c r="W33" s="76">
        <v>8.3333333333333339</v>
      </c>
      <c r="X33" s="76">
        <v>8.9752746785575059</v>
      </c>
      <c r="Y33" s="76">
        <v>21.666666666666668</v>
      </c>
      <c r="Z33" s="76">
        <v>24.776781245530845</v>
      </c>
      <c r="AA33" s="76">
        <v>26.352313834736496</v>
      </c>
      <c r="AB33" s="76">
        <v>29.53340857778225</v>
      </c>
      <c r="AC33" s="76">
        <v>31.135902820449012</v>
      </c>
      <c r="AD33" s="76">
        <v>6.666666666666667</v>
      </c>
      <c r="AE33" s="76">
        <v>5</v>
      </c>
      <c r="AF33" s="76">
        <v>1.6666666666666667</v>
      </c>
      <c r="AG33" s="76">
        <v>833.33333333333337</v>
      </c>
      <c r="AH33" s="76">
        <v>3.3333333333333335</v>
      </c>
      <c r="AI33" s="76">
        <v>28.38231060987734</v>
      </c>
      <c r="AJ33" s="76">
        <v>23.333333333333336</v>
      </c>
      <c r="AK33" s="76">
        <v>25</v>
      </c>
      <c r="AL33" s="76">
        <v>28.333333333333336</v>
      </c>
      <c r="AM33" s="76">
        <v>30</v>
      </c>
      <c r="AY33" s="77"/>
      <c r="CB33" s="59">
        <f t="shared" si="6"/>
        <v>22.990201885065069</v>
      </c>
      <c r="CC33" s="59">
        <f t="shared" si="6"/>
        <v>28.59897261385278</v>
      </c>
      <c r="CD33" s="59">
        <f t="shared" si="6"/>
        <v>27.393170726827812</v>
      </c>
      <c r="CE33" s="59">
        <f t="shared" si="6"/>
        <v>25.038550524055481</v>
      </c>
      <c r="CF33" s="59">
        <f t="shared" si="6"/>
        <v>23.895347964007296</v>
      </c>
      <c r="CG33" s="59">
        <f t="shared" si="6"/>
        <v>21.695137988629597</v>
      </c>
      <c r="CH33" s="59">
        <f t="shared" si="6"/>
        <v>14.163943093313293</v>
      </c>
      <c r="CI33" s="59">
        <f t="shared" si="6"/>
        <v>13.888888888888891</v>
      </c>
      <c r="CJ33" s="59">
        <f t="shared" si="6"/>
        <v>13.958160584890127</v>
      </c>
      <c r="CK33" s="59">
        <f t="shared" si="6"/>
        <v>14.500425706820209</v>
      </c>
      <c r="CL33" s="59">
        <f t="shared" si="6"/>
        <v>14.958791130929177</v>
      </c>
      <c r="CM33" s="59">
        <f t="shared" si="6"/>
        <v>25.946585683707511</v>
      </c>
      <c r="CN33" s="59">
        <f t="shared" si="6"/>
        <v>24.611173814818542</v>
      </c>
      <c r="CO33" s="59">
        <f t="shared" si="6"/>
        <v>21.960261528947079</v>
      </c>
      <c r="CP33" s="59">
        <f t="shared" si="6"/>
        <v>20.647317704609037</v>
      </c>
      <c r="CQ33" s="59">
        <f t="shared" si="6"/>
        <v>18.055555555555557</v>
      </c>
      <c r="CR33" s="59">
        <f t="shared" si="5"/>
        <v>7.4793955654645883</v>
      </c>
      <c r="CS33" s="59">
        <f t="shared" si="5"/>
        <v>6.9444444444444455</v>
      </c>
      <c r="CT33" s="59">
        <f t="shared" si="5"/>
        <v>7.0819715466566464</v>
      </c>
      <c r="CU33" s="59">
        <f t="shared" si="5"/>
        <v>8.0985442983962521</v>
      </c>
      <c r="CV33" s="59">
        <f t="shared" si="5"/>
        <v>8.8932281075456245</v>
      </c>
      <c r="CW33" s="59">
        <f t="shared" si="5"/>
        <v>25</v>
      </c>
      <c r="CX33" s="59">
        <f t="shared" si="5"/>
        <v>23.611111111111114</v>
      </c>
      <c r="CY33" s="59">
        <f t="shared" si="5"/>
        <v>20.833333333333336</v>
      </c>
      <c r="CZ33" s="59">
        <f t="shared" si="5"/>
        <v>19.444444444444446</v>
      </c>
      <c r="DA33" s="59">
        <f t="shared" si="5"/>
        <v>16.666666666666668</v>
      </c>
      <c r="DB33" s="59">
        <f t="shared" si="5"/>
        <v>4.3920523057894165</v>
      </c>
      <c r="DC33" s="59">
        <f t="shared" si="5"/>
        <v>694.44444444444446</v>
      </c>
      <c r="DD33" s="59">
        <f t="shared" si="5"/>
        <v>1.3888888888888891</v>
      </c>
      <c r="DE33" s="59">
        <f t="shared" si="5"/>
        <v>4.166666666666667</v>
      </c>
      <c r="DF33" s="59">
        <f t="shared" si="5"/>
        <v>5.5555555555555562</v>
      </c>
    </row>
    <row r="34" spans="4:110" x14ac:dyDescent="0.25">
      <c r="D34" s="75" t="s">
        <v>57</v>
      </c>
      <c r="E34" s="70">
        <v>26</v>
      </c>
      <c r="F34" s="70">
        <v>-10</v>
      </c>
      <c r="G34" s="70">
        <v>30</v>
      </c>
      <c r="I34" s="76">
        <v>26.352313834736496</v>
      </c>
      <c r="J34" s="76">
        <v>19.436506316151004</v>
      </c>
      <c r="K34" s="76">
        <v>18.63389981249825</v>
      </c>
      <c r="L34" s="76">
        <v>17.400510848184251</v>
      </c>
      <c r="M34" s="76">
        <v>16.996731711975951</v>
      </c>
      <c r="N34" s="76">
        <v>16.666666666666668</v>
      </c>
      <c r="O34" s="76">
        <v>23.570226039551585</v>
      </c>
      <c r="P34" s="76">
        <v>26.034165586355513</v>
      </c>
      <c r="Q34" s="76">
        <v>27.335365778094545</v>
      </c>
      <c r="R34" s="76">
        <v>30.046260628866577</v>
      </c>
      <c r="S34" s="76">
        <v>31.446603773522011</v>
      </c>
      <c r="T34" s="76">
        <v>13.017082793177757</v>
      </c>
      <c r="U34" s="76">
        <v>11.785113019775793</v>
      </c>
      <c r="V34" s="76">
        <v>9.7182531580755018</v>
      </c>
      <c r="W34" s="76">
        <v>8.9752746785575059</v>
      </c>
      <c r="X34" s="76">
        <v>8.3333333333333339</v>
      </c>
      <c r="Y34" s="76">
        <v>18.63389981249825</v>
      </c>
      <c r="Z34" s="76">
        <v>21.666666666666668</v>
      </c>
      <c r="AA34" s="76">
        <v>23.213980461973534</v>
      </c>
      <c r="AB34" s="76">
        <v>26.352313834736496</v>
      </c>
      <c r="AC34" s="76">
        <v>27.938424357067021</v>
      </c>
      <c r="AD34" s="76">
        <v>10</v>
      </c>
      <c r="AE34" s="76">
        <v>8.3333333333333339</v>
      </c>
      <c r="AF34" s="76">
        <v>5</v>
      </c>
      <c r="AG34" s="76">
        <v>3.3333333333333335</v>
      </c>
      <c r="AH34" s="76">
        <v>833.33333333333337</v>
      </c>
      <c r="AI34" s="76">
        <v>25.055493963954849</v>
      </c>
      <c r="AJ34" s="76">
        <v>20</v>
      </c>
      <c r="AK34" s="76">
        <v>21.666666666666668</v>
      </c>
      <c r="AL34" s="76">
        <v>25</v>
      </c>
      <c r="AM34" s="76">
        <v>26.666666666666668</v>
      </c>
      <c r="AY34" s="77"/>
      <c r="CB34" s="59">
        <f t="shared" si="6"/>
        <v>23.611111111111114</v>
      </c>
      <c r="CC34" s="59">
        <f t="shared" si="6"/>
        <v>29.820709102199846</v>
      </c>
      <c r="CD34" s="59">
        <f t="shared" si="6"/>
        <v>28.59897261385278</v>
      </c>
      <c r="CE34" s="59">
        <f t="shared" si="6"/>
        <v>26.205503144601675</v>
      </c>
      <c r="CF34" s="59">
        <f t="shared" si="6"/>
        <v>25.038550524055481</v>
      </c>
      <c r="CG34" s="59">
        <f t="shared" si="6"/>
        <v>22.779471481745453</v>
      </c>
      <c r="CH34" s="59">
        <f t="shared" si="6"/>
        <v>14.500425706820209</v>
      </c>
      <c r="CI34" s="59">
        <f t="shared" si="6"/>
        <v>13.958160584890127</v>
      </c>
      <c r="CJ34" s="59">
        <f t="shared" si="6"/>
        <v>13.888888888888891</v>
      </c>
      <c r="CK34" s="59">
        <f t="shared" si="6"/>
        <v>14.163943093313293</v>
      </c>
      <c r="CL34" s="59">
        <f t="shared" si="6"/>
        <v>14.500425706820209</v>
      </c>
      <c r="CM34" s="59">
        <f t="shared" si="6"/>
        <v>27.287337089428473</v>
      </c>
      <c r="CN34" s="59">
        <f t="shared" si="6"/>
        <v>25.946585683707511</v>
      </c>
      <c r="CO34" s="59">
        <f t="shared" si="6"/>
        <v>23.282020297555853</v>
      </c>
      <c r="CP34" s="59">
        <f t="shared" si="6"/>
        <v>21.960261528947079</v>
      </c>
      <c r="CQ34" s="59">
        <f t="shared" si="6"/>
        <v>19.34498371831128</v>
      </c>
      <c r="CR34" s="59">
        <f t="shared" si="5"/>
        <v>8.0985442983962521</v>
      </c>
      <c r="CS34" s="59">
        <f t="shared" si="5"/>
        <v>7.0819715466566464</v>
      </c>
      <c r="CT34" s="59">
        <f t="shared" si="5"/>
        <v>6.9444444444444455</v>
      </c>
      <c r="CU34" s="59">
        <f t="shared" si="5"/>
        <v>7.4793955654645883</v>
      </c>
      <c r="CV34" s="59">
        <f t="shared" si="5"/>
        <v>8.0985442983962521</v>
      </c>
      <c r="CW34" s="59">
        <f t="shared" si="5"/>
        <v>26.388888888888889</v>
      </c>
      <c r="CX34" s="59">
        <f t="shared" si="5"/>
        <v>25</v>
      </c>
      <c r="CY34" s="59">
        <f t="shared" si="5"/>
        <v>22.222222222222225</v>
      </c>
      <c r="CZ34" s="59">
        <f t="shared" si="5"/>
        <v>20.833333333333336</v>
      </c>
      <c r="DA34" s="59">
        <f t="shared" si="5"/>
        <v>18.055555555555557</v>
      </c>
      <c r="DB34" s="59">
        <f t="shared" si="5"/>
        <v>3.1056499687497081</v>
      </c>
      <c r="DC34" s="59">
        <f t="shared" si="5"/>
        <v>1.3888888888888891</v>
      </c>
      <c r="DD34" s="59">
        <f t="shared" si="5"/>
        <v>694.44444444444446</v>
      </c>
      <c r="DE34" s="59">
        <f t="shared" si="5"/>
        <v>2.7777777777777781</v>
      </c>
      <c r="DF34" s="59">
        <f t="shared" si="5"/>
        <v>4.166666666666667</v>
      </c>
    </row>
    <row r="35" spans="4:110" x14ac:dyDescent="0.25">
      <c r="D35" s="75" t="s">
        <v>58</v>
      </c>
      <c r="E35" s="70">
        <v>27</v>
      </c>
      <c r="F35" s="70">
        <v>20</v>
      </c>
      <c r="G35" s="70">
        <v>32</v>
      </c>
      <c r="I35" s="76">
        <v>31.446603773522011</v>
      </c>
      <c r="J35" s="76">
        <v>39.51089863709899</v>
      </c>
      <c r="K35" s="76">
        <v>38.042374035044425</v>
      </c>
      <c r="L35" s="76">
        <v>35.158371849548317</v>
      </c>
      <c r="M35" s="76">
        <v>33.747427885527649</v>
      </c>
      <c r="N35" s="76">
        <v>31.001792062897128</v>
      </c>
      <c r="O35" s="76">
        <v>20.138409955990955</v>
      </c>
      <c r="P35" s="76">
        <v>19.0029237516523</v>
      </c>
      <c r="Q35" s="76">
        <v>18.63389981249825</v>
      </c>
      <c r="R35" s="76">
        <v>18.333333333333336</v>
      </c>
      <c r="S35" s="76">
        <v>18.408935028645438</v>
      </c>
      <c r="T35" s="76">
        <v>36.400549446402593</v>
      </c>
      <c r="U35" s="76">
        <v>34.801021696368501</v>
      </c>
      <c r="V35" s="76">
        <v>31.622776601683796</v>
      </c>
      <c r="W35" s="76">
        <v>30.046260628866577</v>
      </c>
      <c r="X35" s="76">
        <v>26.92582403567252</v>
      </c>
      <c r="Y35" s="76">
        <v>13.017082793177757</v>
      </c>
      <c r="Z35" s="76">
        <v>11.180339887498949</v>
      </c>
      <c r="AA35" s="76">
        <v>10.540925533894599</v>
      </c>
      <c r="AB35" s="76">
        <v>10</v>
      </c>
      <c r="AC35" s="76">
        <v>10.137937550497032</v>
      </c>
      <c r="AD35" s="76">
        <v>35.039660069381064</v>
      </c>
      <c r="AE35" s="76">
        <v>33.374973990834647</v>
      </c>
      <c r="AF35" s="76">
        <v>30.046260628866577</v>
      </c>
      <c r="AG35" s="76">
        <v>28.38231060987734</v>
      </c>
      <c r="AH35" s="76">
        <v>25.055493963954849</v>
      </c>
      <c r="AI35" s="76">
        <v>833.33333333333337</v>
      </c>
      <c r="AJ35" s="76">
        <v>5.2704627669472996</v>
      </c>
      <c r="AK35" s="76">
        <v>3.7267799624996498</v>
      </c>
      <c r="AL35" s="76">
        <v>1.6666666666666667</v>
      </c>
      <c r="AM35" s="76">
        <v>2.3570226039551585</v>
      </c>
      <c r="AY35" s="77"/>
      <c r="CB35" s="59">
        <f t="shared" si="6"/>
        <v>25.038550524055481</v>
      </c>
      <c r="CC35" s="59">
        <f t="shared" si="6"/>
        <v>32.304731526702803</v>
      </c>
      <c r="CD35" s="59">
        <f t="shared" si="6"/>
        <v>31.056499687497084</v>
      </c>
      <c r="CE35" s="59">
        <f t="shared" si="6"/>
        <v>28.59897261385278</v>
      </c>
      <c r="CF35" s="59">
        <f t="shared" si="6"/>
        <v>27.393170726827812</v>
      </c>
      <c r="CG35" s="59">
        <f t="shared" si="6"/>
        <v>25.038550524055481</v>
      </c>
      <c r="CH35" s="59">
        <f t="shared" si="6"/>
        <v>15.528249843748542</v>
      </c>
      <c r="CI35" s="59">
        <f t="shared" si="6"/>
        <v>14.500425706820209</v>
      </c>
      <c r="CJ35" s="59">
        <f t="shared" si="6"/>
        <v>14.163943093313293</v>
      </c>
      <c r="CK35" s="59">
        <f t="shared" si="6"/>
        <v>13.888888888888891</v>
      </c>
      <c r="CL35" s="59">
        <f t="shared" si="6"/>
        <v>13.958160584890127</v>
      </c>
      <c r="CM35" s="59">
        <f t="shared" si="6"/>
        <v>29.981990479059586</v>
      </c>
      <c r="CN35" s="59">
        <f t="shared" si="6"/>
        <v>28.632677955678201</v>
      </c>
      <c r="CO35" s="59">
        <f t="shared" si="6"/>
        <v>25.946585683707511</v>
      </c>
      <c r="CP35" s="59">
        <f t="shared" si="6"/>
        <v>24.611173814818542</v>
      </c>
      <c r="CQ35" s="59">
        <f t="shared" si="6"/>
        <v>21.960261528947079</v>
      </c>
      <c r="CR35" s="59">
        <f t="shared" si="5"/>
        <v>9.8209275164798271</v>
      </c>
      <c r="CS35" s="59">
        <f t="shared" si="5"/>
        <v>8.0985442983962521</v>
      </c>
      <c r="CT35" s="59">
        <f t="shared" si="5"/>
        <v>7.4793955654645883</v>
      </c>
      <c r="CU35" s="59">
        <f t="shared" si="5"/>
        <v>6.9444444444444455</v>
      </c>
      <c r="CV35" s="59">
        <f t="shared" si="5"/>
        <v>7.0819715466566464</v>
      </c>
      <c r="CW35" s="59">
        <f t="shared" si="5"/>
        <v>29.166666666666668</v>
      </c>
      <c r="CX35" s="59">
        <f t="shared" si="5"/>
        <v>27.777777777777782</v>
      </c>
      <c r="CY35" s="59">
        <f t="shared" si="5"/>
        <v>25</v>
      </c>
      <c r="CZ35" s="59">
        <f t="shared" si="5"/>
        <v>23.611111111111114</v>
      </c>
      <c r="DA35" s="59">
        <f t="shared" si="5"/>
        <v>20.833333333333336</v>
      </c>
      <c r="DB35" s="59">
        <f t="shared" si="5"/>
        <v>1.3888888888888891</v>
      </c>
      <c r="DC35" s="59">
        <f t="shared" si="5"/>
        <v>4.166666666666667</v>
      </c>
      <c r="DD35" s="59">
        <f t="shared" si="5"/>
        <v>2.7777777777777781</v>
      </c>
      <c r="DE35" s="59">
        <f t="shared" si="5"/>
        <v>694.44444444444446</v>
      </c>
      <c r="DF35" s="59">
        <f t="shared" si="5"/>
        <v>1.3888888888888891</v>
      </c>
    </row>
    <row r="36" spans="4:110" x14ac:dyDescent="0.25">
      <c r="D36" s="75" t="s">
        <v>59</v>
      </c>
      <c r="E36" s="70">
        <v>28</v>
      </c>
      <c r="F36" s="70">
        <v>14</v>
      </c>
      <c r="G36" s="70">
        <v>30</v>
      </c>
      <c r="I36" s="76">
        <v>27.588242262078083</v>
      </c>
      <c r="J36" s="76">
        <v>34.318767136623336</v>
      </c>
      <c r="K36" s="76">
        <v>32.871804872193373</v>
      </c>
      <c r="L36" s="76">
        <v>30.046260628866577</v>
      </c>
      <c r="M36" s="76">
        <v>28.674417556808756</v>
      </c>
      <c r="N36" s="76">
        <v>26.034165586355513</v>
      </c>
      <c r="O36" s="76">
        <v>16.996731711975951</v>
      </c>
      <c r="P36" s="76">
        <v>16.666666666666668</v>
      </c>
      <c r="Q36" s="76">
        <v>16.749792701868152</v>
      </c>
      <c r="R36" s="76">
        <v>17.400510848184251</v>
      </c>
      <c r="S36" s="76">
        <v>17.950549357115012</v>
      </c>
      <c r="T36" s="76">
        <v>31.135902820449012</v>
      </c>
      <c r="U36" s="76">
        <v>29.53340857778225</v>
      </c>
      <c r="V36" s="76">
        <v>26.352313834736496</v>
      </c>
      <c r="W36" s="76">
        <v>24.776781245530845</v>
      </c>
      <c r="X36" s="76">
        <v>21.666666666666668</v>
      </c>
      <c r="Y36" s="76">
        <v>8.9752746785575059</v>
      </c>
      <c r="Z36" s="76">
        <v>8.3333333333333339</v>
      </c>
      <c r="AA36" s="76">
        <v>8.4983658559879753</v>
      </c>
      <c r="AB36" s="76">
        <v>9.7182531580755018</v>
      </c>
      <c r="AC36" s="76">
        <v>10.671873729054749</v>
      </c>
      <c r="AD36" s="76">
        <v>30</v>
      </c>
      <c r="AE36" s="76">
        <v>28.333333333333336</v>
      </c>
      <c r="AF36" s="76">
        <v>25</v>
      </c>
      <c r="AG36" s="76">
        <v>23.333333333333336</v>
      </c>
      <c r="AH36" s="76">
        <v>20</v>
      </c>
      <c r="AI36" s="76">
        <v>5.2704627669472996</v>
      </c>
      <c r="AJ36" s="76">
        <v>833.33333333333337</v>
      </c>
      <c r="AK36" s="76">
        <v>1.6666666666666667</v>
      </c>
      <c r="AL36" s="76">
        <v>5</v>
      </c>
      <c r="AM36" s="76">
        <v>6.666666666666667</v>
      </c>
      <c r="AY36" s="77"/>
      <c r="CB36" s="59">
        <f t="shared" si="6"/>
        <v>25.83482671908094</v>
      </c>
      <c r="CC36" s="59">
        <f t="shared" si="6"/>
        <v>33.564016593318257</v>
      </c>
      <c r="CD36" s="59">
        <f t="shared" si="6"/>
        <v>32.304731526702803</v>
      </c>
      <c r="CE36" s="59">
        <f t="shared" si="6"/>
        <v>29.820709102199846</v>
      </c>
      <c r="CF36" s="59">
        <f t="shared" si="6"/>
        <v>28.59897261385278</v>
      </c>
      <c r="CG36" s="59">
        <f t="shared" si="6"/>
        <v>26.205503144601675</v>
      </c>
      <c r="CH36" s="59">
        <f t="shared" si="6"/>
        <v>16.197088596792504</v>
      </c>
      <c r="CI36" s="59">
        <f t="shared" si="6"/>
        <v>14.958791130929177</v>
      </c>
      <c r="CJ36" s="59">
        <f t="shared" si="6"/>
        <v>14.500425706820209</v>
      </c>
      <c r="CK36" s="59">
        <f t="shared" si="6"/>
        <v>13.958160584890127</v>
      </c>
      <c r="CL36" s="59">
        <f t="shared" si="6"/>
        <v>13.888888888888891</v>
      </c>
      <c r="CM36" s="59">
        <f t="shared" si="6"/>
        <v>31.334761590773553</v>
      </c>
      <c r="CN36" s="59">
        <f t="shared" si="6"/>
        <v>29.981990479059586</v>
      </c>
      <c r="CO36" s="59">
        <f t="shared" si="6"/>
        <v>27.287337089428473</v>
      </c>
      <c r="CP36" s="59">
        <f t="shared" si="6"/>
        <v>25.946585683707511</v>
      </c>
      <c r="CQ36" s="59">
        <f t="shared" si="6"/>
        <v>23.282020297555853</v>
      </c>
      <c r="CR36" s="59">
        <f t="shared" si="5"/>
        <v>10.847568994314798</v>
      </c>
      <c r="CS36" s="59">
        <f t="shared" si="5"/>
        <v>8.8932281075456245</v>
      </c>
      <c r="CT36" s="59">
        <f t="shared" si="5"/>
        <v>8.0985442983962521</v>
      </c>
      <c r="CU36" s="59">
        <f t="shared" si="5"/>
        <v>7.0819715466566464</v>
      </c>
      <c r="CV36" s="59">
        <f t="shared" si="5"/>
        <v>6.9444444444444455</v>
      </c>
      <c r="CW36" s="59">
        <f t="shared" si="5"/>
        <v>30.555555555555561</v>
      </c>
      <c r="CX36" s="59">
        <f t="shared" si="5"/>
        <v>29.166666666666668</v>
      </c>
      <c r="CY36" s="59">
        <f t="shared" si="5"/>
        <v>26.388888888888889</v>
      </c>
      <c r="CZ36" s="59">
        <f t="shared" si="5"/>
        <v>25</v>
      </c>
      <c r="DA36" s="59">
        <f t="shared" si="5"/>
        <v>22.222222222222225</v>
      </c>
      <c r="DB36" s="59">
        <f t="shared" si="5"/>
        <v>1.9641855032959654</v>
      </c>
      <c r="DC36" s="59">
        <f t="shared" si="5"/>
        <v>5.5555555555555562</v>
      </c>
      <c r="DD36" s="59">
        <f t="shared" si="5"/>
        <v>4.166666666666667</v>
      </c>
      <c r="DE36" s="59">
        <f t="shared" si="5"/>
        <v>1.3888888888888891</v>
      </c>
      <c r="DF36" s="59">
        <f t="shared" si="5"/>
        <v>694.44444444444446</v>
      </c>
    </row>
    <row r="37" spans="4:110" ht="15" customHeight="1" x14ac:dyDescent="0.25">
      <c r="D37" s="75" t="s">
        <v>60</v>
      </c>
      <c r="E37" s="70">
        <v>29</v>
      </c>
      <c r="F37" s="70">
        <v>16</v>
      </c>
      <c r="G37" s="70">
        <v>30</v>
      </c>
      <c r="I37" s="76">
        <v>28.333333333333336</v>
      </c>
      <c r="J37" s="76">
        <v>35.784850922639812</v>
      </c>
      <c r="K37" s="76">
        <v>34.318767136623336</v>
      </c>
      <c r="L37" s="76">
        <v>31.446603773522011</v>
      </c>
      <c r="M37" s="76">
        <v>30.046260628866577</v>
      </c>
      <c r="N37" s="76">
        <v>27.335365778094545</v>
      </c>
      <c r="O37" s="76">
        <v>17.400510848184251</v>
      </c>
      <c r="P37" s="76">
        <v>16.749792701868152</v>
      </c>
      <c r="Q37" s="76">
        <v>16.666666666666668</v>
      </c>
      <c r="R37" s="76">
        <v>16.996731711975951</v>
      </c>
      <c r="S37" s="76">
        <v>17.400510848184251</v>
      </c>
      <c r="T37" s="76">
        <v>32.744804507314164</v>
      </c>
      <c r="U37" s="76">
        <v>31.135902820449012</v>
      </c>
      <c r="V37" s="76">
        <v>27.938424357067021</v>
      </c>
      <c r="W37" s="76">
        <v>26.352313834736496</v>
      </c>
      <c r="X37" s="76">
        <v>23.213980461973534</v>
      </c>
      <c r="Y37" s="76">
        <v>9.7182531580755018</v>
      </c>
      <c r="Z37" s="76">
        <v>8.4983658559879753</v>
      </c>
      <c r="AA37" s="76">
        <v>8.3333333333333339</v>
      </c>
      <c r="AB37" s="76">
        <v>8.9752746785575059</v>
      </c>
      <c r="AC37" s="76">
        <v>9.7182531580755018</v>
      </c>
      <c r="AD37" s="76">
        <v>31.666666666666668</v>
      </c>
      <c r="AE37" s="76">
        <v>30</v>
      </c>
      <c r="AF37" s="76">
        <v>26.666666666666668</v>
      </c>
      <c r="AG37" s="76">
        <v>25</v>
      </c>
      <c r="AH37" s="76">
        <v>21.666666666666668</v>
      </c>
      <c r="AI37" s="76">
        <v>3.7267799624996498</v>
      </c>
      <c r="AJ37" s="76">
        <v>1.6666666666666667</v>
      </c>
      <c r="AK37" s="76">
        <v>833.33333333333337</v>
      </c>
      <c r="AL37" s="76">
        <v>3.3333333333333335</v>
      </c>
      <c r="AM37" s="76">
        <v>5</v>
      </c>
      <c r="AY37" s="77"/>
      <c r="BC37" t="s">
        <v>17</v>
      </c>
      <c r="BG37">
        <v>2173.9570711732558</v>
      </c>
    </row>
    <row r="38" spans="4:110" ht="15" customHeight="1" x14ac:dyDescent="0.25">
      <c r="D38" s="75" t="s">
        <v>61</v>
      </c>
      <c r="E38" s="70">
        <v>30</v>
      </c>
      <c r="F38" s="70">
        <v>20</v>
      </c>
      <c r="G38" s="70">
        <v>30</v>
      </c>
      <c r="I38" s="76">
        <v>30.046260628866577</v>
      </c>
      <c r="J38" s="76">
        <v>38.765677832043359</v>
      </c>
      <c r="K38" s="76">
        <v>37.267799624996499</v>
      </c>
      <c r="L38" s="76">
        <v>34.318767136623336</v>
      </c>
      <c r="M38" s="76">
        <v>32.871804872193373</v>
      </c>
      <c r="N38" s="76">
        <v>30.046260628866577</v>
      </c>
      <c r="O38" s="76">
        <v>18.63389981249825</v>
      </c>
      <c r="P38" s="76">
        <v>17.400510848184251</v>
      </c>
      <c r="Q38" s="76">
        <v>16.996731711975951</v>
      </c>
      <c r="R38" s="76">
        <v>16.666666666666668</v>
      </c>
      <c r="S38" s="76">
        <v>16.749792701868152</v>
      </c>
      <c r="T38" s="76">
        <v>35.978388574871502</v>
      </c>
      <c r="U38" s="76">
        <v>34.359213546813841</v>
      </c>
      <c r="V38" s="76">
        <v>31.135902820449012</v>
      </c>
      <c r="W38" s="76">
        <v>29.53340857778225</v>
      </c>
      <c r="X38" s="76">
        <v>26.352313834736496</v>
      </c>
      <c r="Y38" s="76">
        <v>11.785113019775793</v>
      </c>
      <c r="Z38" s="76">
        <v>9.7182531580755018</v>
      </c>
      <c r="AA38" s="76">
        <v>8.9752746785575059</v>
      </c>
      <c r="AB38" s="76">
        <v>8.3333333333333339</v>
      </c>
      <c r="AC38" s="76">
        <v>8.4983658559879753</v>
      </c>
      <c r="AD38" s="76">
        <v>35</v>
      </c>
      <c r="AE38" s="76">
        <v>33.333333333333336</v>
      </c>
      <c r="AF38" s="76">
        <v>30</v>
      </c>
      <c r="AG38" s="76">
        <v>28.333333333333336</v>
      </c>
      <c r="AH38" s="76">
        <v>25</v>
      </c>
      <c r="AI38" s="76">
        <v>1.6666666666666667</v>
      </c>
      <c r="AJ38" s="76">
        <v>5</v>
      </c>
      <c r="AK38" s="76">
        <v>3.3333333333333335</v>
      </c>
      <c r="AL38" s="76">
        <v>833.33333333333337</v>
      </c>
      <c r="AM38" s="76">
        <v>1.6666666666666667</v>
      </c>
      <c r="AY38" s="77"/>
    </row>
    <row r="39" spans="4:110" ht="15" customHeight="1" x14ac:dyDescent="0.25">
      <c r="D39" s="75" t="s">
        <v>62</v>
      </c>
      <c r="E39" s="70">
        <v>31</v>
      </c>
      <c r="F39" s="70">
        <v>22</v>
      </c>
      <c r="G39" s="70">
        <v>30</v>
      </c>
      <c r="I39" s="76">
        <v>31.001792062897128</v>
      </c>
      <c r="J39" s="76">
        <v>40.27681991198191</v>
      </c>
      <c r="K39" s="76">
        <v>38.765677832043359</v>
      </c>
      <c r="L39" s="76">
        <v>35.784850922639812</v>
      </c>
      <c r="M39" s="76">
        <v>34.318767136623336</v>
      </c>
      <c r="N39" s="76">
        <v>31.446603773522011</v>
      </c>
      <c r="O39" s="76">
        <v>19.436506316151004</v>
      </c>
      <c r="P39" s="76">
        <v>17.950549357115012</v>
      </c>
      <c r="Q39" s="76">
        <v>17.400510848184251</v>
      </c>
      <c r="R39" s="76">
        <v>16.749792701868152</v>
      </c>
      <c r="S39" s="76">
        <v>16.666666666666668</v>
      </c>
      <c r="T39" s="76">
        <v>37.601713908928261</v>
      </c>
      <c r="U39" s="76">
        <v>35.978388574871502</v>
      </c>
      <c r="V39" s="76">
        <v>32.744804507314164</v>
      </c>
      <c r="W39" s="76">
        <v>31.135902820449012</v>
      </c>
      <c r="X39" s="76">
        <v>27.938424357067021</v>
      </c>
      <c r="Y39" s="76">
        <v>13.017082793177757</v>
      </c>
      <c r="Z39" s="76">
        <v>10.671873729054749</v>
      </c>
      <c r="AA39" s="76">
        <v>9.7182531580755018</v>
      </c>
      <c r="AB39" s="76">
        <v>8.4983658559879753</v>
      </c>
      <c r="AC39" s="76">
        <v>8.3333333333333339</v>
      </c>
      <c r="AD39" s="76">
        <v>36.666666666666671</v>
      </c>
      <c r="AE39" s="76">
        <v>35</v>
      </c>
      <c r="AF39" s="76">
        <v>31.666666666666668</v>
      </c>
      <c r="AG39" s="76">
        <v>30</v>
      </c>
      <c r="AH39" s="76">
        <v>26.666666666666668</v>
      </c>
      <c r="AI39" s="76">
        <v>2.3570226039551585</v>
      </c>
      <c r="AJ39" s="76">
        <v>6.666666666666667</v>
      </c>
      <c r="AK39" s="76">
        <v>5</v>
      </c>
      <c r="AL39" s="76">
        <v>1.6666666666666667</v>
      </c>
      <c r="AM39" s="76">
        <v>833.33333333333337</v>
      </c>
      <c r="AY39" s="77"/>
      <c r="BC39" t="s">
        <v>6</v>
      </c>
      <c r="BG39">
        <v>462389.57071173261</v>
      </c>
    </row>
    <row r="41" spans="4:110" x14ac:dyDescent="0.25">
      <c r="BC41" t="s">
        <v>7</v>
      </c>
      <c r="BG41">
        <v>128.44154741992571</v>
      </c>
    </row>
    <row r="45" spans="4:110" x14ac:dyDescent="0.25">
      <c r="BC45" t="s">
        <v>8</v>
      </c>
      <c r="BG45">
        <v>218.75</v>
      </c>
    </row>
    <row r="49" spans="4:72" x14ac:dyDescent="0.25">
      <c r="BC49" t="s">
        <v>9</v>
      </c>
      <c r="BG49">
        <v>21.40692456998762</v>
      </c>
    </row>
    <row r="50" spans="4:72" ht="15" customHeight="1" x14ac:dyDescent="0.25">
      <c r="H50" s="66" t="s">
        <v>31</v>
      </c>
      <c r="I50" s="67" t="s">
        <v>32</v>
      </c>
      <c r="J50" s="67" t="s">
        <v>33</v>
      </c>
      <c r="K50" s="67" t="s">
        <v>34</v>
      </c>
      <c r="L50" s="67" t="s">
        <v>35</v>
      </c>
      <c r="M50" s="67" t="s">
        <v>36</v>
      </c>
      <c r="N50" s="67" t="s">
        <v>37</v>
      </c>
      <c r="O50" s="67" t="s">
        <v>38</v>
      </c>
      <c r="P50" s="67" t="s">
        <v>39</v>
      </c>
      <c r="Q50" s="67" t="s">
        <v>40</v>
      </c>
      <c r="R50" s="67" t="s">
        <v>41</v>
      </c>
      <c r="S50" s="67" t="s">
        <v>42</v>
      </c>
      <c r="T50" s="67" t="s">
        <v>43</v>
      </c>
      <c r="U50" s="67" t="s">
        <v>44</v>
      </c>
      <c r="V50" s="67" t="s">
        <v>45</v>
      </c>
      <c r="W50" s="67" t="s">
        <v>46</v>
      </c>
      <c r="X50" s="67" t="s">
        <v>47</v>
      </c>
      <c r="Y50" s="67" t="s">
        <v>48</v>
      </c>
      <c r="Z50" s="67" t="s">
        <v>49</v>
      </c>
      <c r="AA50" s="67" t="s">
        <v>50</v>
      </c>
      <c r="AB50" s="67" t="s">
        <v>51</v>
      </c>
      <c r="AC50" s="67" t="s">
        <v>52</v>
      </c>
      <c r="AD50" s="67" t="s">
        <v>53</v>
      </c>
      <c r="AE50" s="67" t="s">
        <v>54</v>
      </c>
      <c r="AF50" s="67" t="s">
        <v>55</v>
      </c>
      <c r="AG50" s="67" t="s">
        <v>56</v>
      </c>
      <c r="AH50" s="67" t="s">
        <v>57</v>
      </c>
      <c r="AI50" s="67" t="s">
        <v>58</v>
      </c>
      <c r="AJ50" s="67" t="s">
        <v>59</v>
      </c>
      <c r="AK50" s="67" t="s">
        <v>60</v>
      </c>
      <c r="AL50" s="67" t="s">
        <v>61</v>
      </c>
      <c r="AM50" s="67" t="s">
        <v>62</v>
      </c>
    </row>
    <row r="51" spans="4:72" ht="15" customHeight="1" x14ac:dyDescent="0.25">
      <c r="H51" s="69" t="s">
        <v>63</v>
      </c>
      <c r="I51" s="70">
        <v>1</v>
      </c>
      <c r="J51" s="70">
        <v>2</v>
      </c>
      <c r="K51" s="70">
        <v>3</v>
      </c>
      <c r="L51" s="70">
        <v>4</v>
      </c>
      <c r="M51" s="70">
        <v>5</v>
      </c>
      <c r="N51" s="70">
        <v>6</v>
      </c>
      <c r="O51" s="70">
        <v>7</v>
      </c>
      <c r="P51" s="70">
        <v>8</v>
      </c>
      <c r="Q51" s="70">
        <v>9</v>
      </c>
      <c r="R51" s="70">
        <v>10</v>
      </c>
      <c r="S51" s="70">
        <v>11</v>
      </c>
      <c r="T51" s="70">
        <v>12</v>
      </c>
      <c r="U51" s="70">
        <v>13</v>
      </c>
      <c r="V51" s="70">
        <v>14</v>
      </c>
      <c r="W51" s="70">
        <v>15</v>
      </c>
      <c r="X51" s="70">
        <v>16</v>
      </c>
      <c r="Y51" s="70">
        <v>17</v>
      </c>
      <c r="Z51" s="70">
        <v>18</v>
      </c>
      <c r="AA51" s="70">
        <v>19</v>
      </c>
      <c r="AB51" s="70">
        <v>20</v>
      </c>
      <c r="AC51" s="70">
        <v>21</v>
      </c>
      <c r="AD51" s="70">
        <v>22</v>
      </c>
      <c r="AE51" s="70">
        <v>23</v>
      </c>
      <c r="AF51" s="70">
        <v>24</v>
      </c>
      <c r="AG51" s="70">
        <v>25</v>
      </c>
      <c r="AH51" s="70">
        <v>26</v>
      </c>
      <c r="AI51" s="70">
        <v>27</v>
      </c>
      <c r="AJ51" s="70">
        <v>28</v>
      </c>
      <c r="AK51" s="70">
        <v>29</v>
      </c>
      <c r="AL51" s="70">
        <v>30</v>
      </c>
      <c r="AM51" s="70">
        <v>31</v>
      </c>
    </row>
    <row r="52" spans="4:72" s="59" customFormat="1" ht="15" customHeight="1" x14ac:dyDescent="0.25">
      <c r="D52" s="58"/>
      <c r="H52" s="69" t="s">
        <v>64</v>
      </c>
      <c r="I52" s="70">
        <f t="shared" ref="I52" ca="1" si="7">OFFSET($F$8,I51,0)</f>
        <v>0</v>
      </c>
      <c r="J52" s="70">
        <f ca="1">OFFSET($F$8,J51,0)</f>
        <v>-22</v>
      </c>
      <c r="K52" s="70">
        <f t="shared" ref="K52:AM52" ca="1" si="8">OFFSET($F$8,K51,0)</f>
        <v>-20</v>
      </c>
      <c r="L52" s="70">
        <f t="shared" ca="1" si="8"/>
        <v>-16</v>
      </c>
      <c r="M52" s="70">
        <f t="shared" ca="1" si="8"/>
        <v>-14</v>
      </c>
      <c r="N52" s="70">
        <f t="shared" ca="1" si="8"/>
        <v>-10</v>
      </c>
      <c r="O52" s="70">
        <f t="shared" ca="1" si="8"/>
        <v>10</v>
      </c>
      <c r="P52" s="70">
        <f t="shared" ca="1" si="8"/>
        <v>14</v>
      </c>
      <c r="Q52" s="70">
        <f t="shared" ca="1" si="8"/>
        <v>16</v>
      </c>
      <c r="R52" s="70">
        <f t="shared" ca="1" si="8"/>
        <v>20</v>
      </c>
      <c r="S52" s="70">
        <f t="shared" ca="1" si="8"/>
        <v>22</v>
      </c>
      <c r="T52" s="70">
        <f t="shared" ca="1" si="8"/>
        <v>-22</v>
      </c>
      <c r="U52" s="70">
        <f t="shared" ca="1" si="8"/>
        <v>-20</v>
      </c>
      <c r="V52" s="70">
        <f t="shared" ca="1" si="8"/>
        <v>-16</v>
      </c>
      <c r="W52" s="70">
        <f t="shared" ca="1" si="8"/>
        <v>-14</v>
      </c>
      <c r="X52" s="70">
        <f t="shared" ca="1" si="8"/>
        <v>-10</v>
      </c>
      <c r="Y52" s="70">
        <f t="shared" ca="1" si="8"/>
        <v>10</v>
      </c>
      <c r="Z52" s="70">
        <f t="shared" ca="1" si="8"/>
        <v>14</v>
      </c>
      <c r="AA52" s="70">
        <f t="shared" ca="1" si="8"/>
        <v>16</v>
      </c>
      <c r="AB52" s="70">
        <f t="shared" ca="1" si="8"/>
        <v>20</v>
      </c>
      <c r="AC52" s="70">
        <f t="shared" ca="1" si="8"/>
        <v>22</v>
      </c>
      <c r="AD52" s="70">
        <f t="shared" ca="1" si="8"/>
        <v>-22</v>
      </c>
      <c r="AE52" s="70">
        <f t="shared" ca="1" si="8"/>
        <v>-20</v>
      </c>
      <c r="AF52" s="70">
        <f t="shared" ca="1" si="8"/>
        <v>-16</v>
      </c>
      <c r="AG52" s="70">
        <f t="shared" ca="1" si="8"/>
        <v>-14</v>
      </c>
      <c r="AH52" s="70">
        <f t="shared" ca="1" si="8"/>
        <v>-10</v>
      </c>
      <c r="AI52" s="70">
        <f t="shared" ca="1" si="8"/>
        <v>20</v>
      </c>
      <c r="AJ52" s="70">
        <f t="shared" ca="1" si="8"/>
        <v>14</v>
      </c>
      <c r="AK52" s="70">
        <f t="shared" ca="1" si="8"/>
        <v>16</v>
      </c>
      <c r="AL52" s="70">
        <f t="shared" ca="1" si="8"/>
        <v>20</v>
      </c>
      <c r="AM52" s="70">
        <f t="shared" ca="1" si="8"/>
        <v>22</v>
      </c>
      <c r="AP52"/>
      <c r="AQ52"/>
      <c r="AR52"/>
      <c r="AS52"/>
      <c r="AT52"/>
      <c r="AU52"/>
      <c r="AV52"/>
      <c r="AW52"/>
      <c r="AX52"/>
      <c r="AY52"/>
      <c r="AZ52"/>
      <c r="BA52"/>
      <c r="BB52"/>
      <c r="BC52" t="s">
        <v>18</v>
      </c>
      <c r="BD52"/>
      <c r="BE52"/>
      <c r="BF52"/>
      <c r="BG52">
        <v>37462.117997478337</v>
      </c>
      <c r="BH52"/>
      <c r="BI52"/>
      <c r="BJ52"/>
      <c r="BK52"/>
      <c r="BL52"/>
      <c r="BM52"/>
      <c r="BN52"/>
      <c r="BO52"/>
      <c r="BP52"/>
      <c r="BQ52"/>
      <c r="BR52"/>
      <c r="BS52"/>
      <c r="BT52"/>
    </row>
    <row r="53" spans="4:72" s="59" customFormat="1" ht="15" customHeight="1" x14ac:dyDescent="0.25">
      <c r="D53" s="58"/>
      <c r="H53" s="69" t="s">
        <v>65</v>
      </c>
      <c r="I53" s="70">
        <f t="shared" ref="I53:AM53" ca="1" si="9">OFFSET($G$8,I51,0)</f>
        <v>0</v>
      </c>
      <c r="J53" s="70">
        <f t="shared" ca="1" si="9"/>
        <v>10</v>
      </c>
      <c r="K53" s="70">
        <f t="shared" ca="1" si="9"/>
        <v>10</v>
      </c>
      <c r="L53" s="70">
        <f t="shared" ca="1" si="9"/>
        <v>10</v>
      </c>
      <c r="M53" s="70">
        <f t="shared" ca="1" si="9"/>
        <v>10</v>
      </c>
      <c r="N53" s="70">
        <f t="shared" ca="1" si="9"/>
        <v>10</v>
      </c>
      <c r="O53" s="70">
        <f t="shared" ca="1" si="9"/>
        <v>10</v>
      </c>
      <c r="P53" s="70">
        <f t="shared" ca="1" si="9"/>
        <v>10</v>
      </c>
      <c r="Q53" s="70">
        <f t="shared" ca="1" si="9"/>
        <v>10</v>
      </c>
      <c r="R53" s="70">
        <f t="shared" ca="1" si="9"/>
        <v>10</v>
      </c>
      <c r="S53" s="70">
        <f t="shared" ca="1" si="9"/>
        <v>10</v>
      </c>
      <c r="T53" s="70">
        <f t="shared" ca="1" si="9"/>
        <v>20</v>
      </c>
      <c r="U53" s="70">
        <f t="shared" ca="1" si="9"/>
        <v>20</v>
      </c>
      <c r="V53" s="70">
        <f t="shared" ca="1" si="9"/>
        <v>20</v>
      </c>
      <c r="W53" s="70">
        <f t="shared" ca="1" si="9"/>
        <v>20</v>
      </c>
      <c r="X53" s="70">
        <f t="shared" ca="1" si="9"/>
        <v>20</v>
      </c>
      <c r="Y53" s="70">
        <f t="shared" ca="1" si="9"/>
        <v>20</v>
      </c>
      <c r="Z53" s="70">
        <f t="shared" ca="1" si="9"/>
        <v>20</v>
      </c>
      <c r="AA53" s="70">
        <f t="shared" ca="1" si="9"/>
        <v>20</v>
      </c>
      <c r="AB53" s="70">
        <f t="shared" ca="1" si="9"/>
        <v>20</v>
      </c>
      <c r="AC53" s="70">
        <f t="shared" ca="1" si="9"/>
        <v>20</v>
      </c>
      <c r="AD53" s="70">
        <f t="shared" ca="1" si="9"/>
        <v>30</v>
      </c>
      <c r="AE53" s="70">
        <f t="shared" ca="1" si="9"/>
        <v>30</v>
      </c>
      <c r="AF53" s="70">
        <f t="shared" ca="1" si="9"/>
        <v>30</v>
      </c>
      <c r="AG53" s="70">
        <f t="shared" ca="1" si="9"/>
        <v>30</v>
      </c>
      <c r="AH53" s="70">
        <f t="shared" ca="1" si="9"/>
        <v>30</v>
      </c>
      <c r="AI53" s="70">
        <f t="shared" ca="1" si="9"/>
        <v>32</v>
      </c>
      <c r="AJ53" s="70">
        <f t="shared" ca="1" si="9"/>
        <v>30</v>
      </c>
      <c r="AK53" s="70">
        <f t="shared" ca="1" si="9"/>
        <v>30</v>
      </c>
      <c r="AL53" s="70">
        <f t="shared" ca="1" si="9"/>
        <v>30</v>
      </c>
      <c r="AM53" s="70">
        <f t="shared" ca="1" si="9"/>
        <v>30</v>
      </c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</row>
    <row r="54" spans="4:72" s="59" customFormat="1" ht="15" customHeight="1" x14ac:dyDescent="0.25">
      <c r="D54" s="73" t="s">
        <v>31</v>
      </c>
      <c r="E54" s="69" t="s">
        <v>63</v>
      </c>
      <c r="F54" s="69" t="s">
        <v>64</v>
      </c>
      <c r="G54" s="69" t="s">
        <v>65</v>
      </c>
      <c r="H54" s="59" t="s">
        <v>68</v>
      </c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</row>
    <row r="55" spans="4:72" s="59" customFormat="1" x14ac:dyDescent="0.25">
      <c r="D55" s="75" t="s">
        <v>32</v>
      </c>
      <c r="E55" s="70">
        <v>1</v>
      </c>
      <c r="F55" s="70">
        <v>0</v>
      </c>
      <c r="G55" s="70">
        <v>0</v>
      </c>
      <c r="H55"/>
      <c r="I55" s="106">
        <v>1</v>
      </c>
      <c r="J55" s="106">
        <v>1</v>
      </c>
      <c r="K55" s="106">
        <v>1</v>
      </c>
      <c r="L55" s="106">
        <v>1</v>
      </c>
      <c r="M55" s="106">
        <v>1</v>
      </c>
      <c r="N55" s="106">
        <v>1</v>
      </c>
      <c r="O55" s="106">
        <v>1</v>
      </c>
      <c r="P55" s="106">
        <v>1</v>
      </c>
      <c r="Q55" s="106">
        <v>1</v>
      </c>
      <c r="R55" s="106">
        <v>1</v>
      </c>
      <c r="S55" s="106">
        <v>1</v>
      </c>
      <c r="T55" s="106">
        <v>1</v>
      </c>
      <c r="U55" s="106">
        <v>1</v>
      </c>
      <c r="V55" s="106">
        <v>1</v>
      </c>
      <c r="W55" s="106">
        <v>1</v>
      </c>
      <c r="X55" s="106">
        <v>1</v>
      </c>
      <c r="Y55" s="106">
        <v>1</v>
      </c>
      <c r="Z55" s="106">
        <v>1</v>
      </c>
      <c r="AA55" s="106">
        <v>1</v>
      </c>
      <c r="AB55" s="106">
        <v>1</v>
      </c>
      <c r="AC55" s="106">
        <v>1</v>
      </c>
      <c r="AD55" s="106">
        <v>1</v>
      </c>
      <c r="AE55" s="106">
        <v>1</v>
      </c>
      <c r="AF55" s="106">
        <v>1</v>
      </c>
      <c r="AG55" s="106">
        <v>1</v>
      </c>
      <c r="AH55" s="106">
        <v>1</v>
      </c>
      <c r="AI55" s="106">
        <v>1</v>
      </c>
      <c r="AJ55" s="106">
        <v>1</v>
      </c>
      <c r="AK55" s="106">
        <v>1</v>
      </c>
      <c r="AL55" s="106">
        <v>1</v>
      </c>
      <c r="AM55" s="106">
        <v>1</v>
      </c>
      <c r="AN55" s="70">
        <f>SUM(I55:AM55)</f>
        <v>31</v>
      </c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</row>
    <row r="56" spans="4:72" s="59" customFormat="1" x14ac:dyDescent="0.25">
      <c r="D56" s="75" t="s">
        <v>33</v>
      </c>
      <c r="E56" s="70">
        <v>2</v>
      </c>
      <c r="F56" s="70">
        <v>-22</v>
      </c>
      <c r="G56" s="70">
        <v>10</v>
      </c>
      <c r="H56"/>
      <c r="I56" s="106">
        <v>1</v>
      </c>
      <c r="J56" s="106">
        <v>0</v>
      </c>
      <c r="K56" s="106">
        <v>0</v>
      </c>
      <c r="L56" s="106">
        <v>0</v>
      </c>
      <c r="M56" s="106">
        <v>0</v>
      </c>
      <c r="N56" s="106">
        <v>0</v>
      </c>
      <c r="O56" s="106">
        <v>0</v>
      </c>
      <c r="P56" s="106">
        <v>0</v>
      </c>
      <c r="Q56" s="106">
        <v>0</v>
      </c>
      <c r="R56" s="106">
        <v>0</v>
      </c>
      <c r="S56" s="106">
        <v>0</v>
      </c>
      <c r="T56" s="106">
        <v>0</v>
      </c>
      <c r="U56" s="106">
        <v>0</v>
      </c>
      <c r="V56" s="106">
        <v>0</v>
      </c>
      <c r="W56" s="106">
        <v>0</v>
      </c>
      <c r="X56" s="106">
        <v>0</v>
      </c>
      <c r="Y56" s="106">
        <v>0</v>
      </c>
      <c r="Z56" s="106">
        <v>0</v>
      </c>
      <c r="AA56" s="106">
        <v>0</v>
      </c>
      <c r="AB56" s="106">
        <v>0</v>
      </c>
      <c r="AC56" s="106">
        <v>0</v>
      </c>
      <c r="AD56" s="106">
        <v>0</v>
      </c>
      <c r="AE56" s="106">
        <v>0</v>
      </c>
      <c r="AF56" s="106">
        <v>0</v>
      </c>
      <c r="AG56" s="106">
        <v>0</v>
      </c>
      <c r="AH56" s="106">
        <v>0</v>
      </c>
      <c r="AI56" s="106">
        <v>0</v>
      </c>
      <c r="AJ56" s="106">
        <v>0</v>
      </c>
      <c r="AK56" s="106">
        <v>0</v>
      </c>
      <c r="AL56" s="106">
        <v>0</v>
      </c>
      <c r="AM56" s="106">
        <v>0</v>
      </c>
      <c r="AN56" s="107">
        <f t="shared" ref="AN56:AN85" si="10">SUM(I56:AM56)</f>
        <v>1</v>
      </c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</row>
    <row r="57" spans="4:72" s="59" customFormat="1" x14ac:dyDescent="0.25">
      <c r="D57" s="75" t="s">
        <v>34</v>
      </c>
      <c r="E57" s="70">
        <v>3</v>
      </c>
      <c r="F57" s="70">
        <v>-20</v>
      </c>
      <c r="G57" s="70">
        <v>10</v>
      </c>
      <c r="H57"/>
      <c r="I57" s="106">
        <v>1</v>
      </c>
      <c r="J57" s="106">
        <v>0</v>
      </c>
      <c r="K57" s="106">
        <v>0</v>
      </c>
      <c r="L57" s="106">
        <v>0</v>
      </c>
      <c r="M57" s="106">
        <v>0</v>
      </c>
      <c r="N57" s="106">
        <v>0</v>
      </c>
      <c r="O57" s="106">
        <v>0</v>
      </c>
      <c r="P57" s="106">
        <v>0</v>
      </c>
      <c r="Q57" s="106">
        <v>0</v>
      </c>
      <c r="R57" s="106">
        <v>0</v>
      </c>
      <c r="S57" s="106">
        <v>0</v>
      </c>
      <c r="T57" s="106">
        <v>0</v>
      </c>
      <c r="U57" s="106">
        <v>0</v>
      </c>
      <c r="V57" s="106">
        <v>0</v>
      </c>
      <c r="W57" s="106">
        <v>0</v>
      </c>
      <c r="X57" s="106">
        <v>0</v>
      </c>
      <c r="Y57" s="106">
        <v>0</v>
      </c>
      <c r="Z57" s="106">
        <v>0</v>
      </c>
      <c r="AA57" s="106">
        <v>0</v>
      </c>
      <c r="AB57" s="106">
        <v>0</v>
      </c>
      <c r="AC57" s="106">
        <v>0</v>
      </c>
      <c r="AD57" s="106">
        <v>0</v>
      </c>
      <c r="AE57" s="106">
        <v>0</v>
      </c>
      <c r="AF57" s="106">
        <v>0</v>
      </c>
      <c r="AG57" s="106">
        <v>0</v>
      </c>
      <c r="AH57" s="106">
        <v>0</v>
      </c>
      <c r="AI57" s="106">
        <v>0</v>
      </c>
      <c r="AJ57" s="106">
        <v>0</v>
      </c>
      <c r="AK57" s="106">
        <v>0</v>
      </c>
      <c r="AL57" s="106">
        <v>0</v>
      </c>
      <c r="AM57" s="106">
        <v>0</v>
      </c>
      <c r="AN57" s="107">
        <f t="shared" si="10"/>
        <v>1</v>
      </c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</row>
    <row r="58" spans="4:72" s="59" customFormat="1" x14ac:dyDescent="0.25">
      <c r="D58" s="75" t="s">
        <v>35</v>
      </c>
      <c r="E58" s="70">
        <v>4</v>
      </c>
      <c r="F58" s="70">
        <v>-16</v>
      </c>
      <c r="G58" s="70">
        <v>10</v>
      </c>
      <c r="H58"/>
      <c r="I58" s="106">
        <v>1</v>
      </c>
      <c r="J58" s="106">
        <v>0</v>
      </c>
      <c r="K58" s="106">
        <v>0</v>
      </c>
      <c r="L58" s="106">
        <v>0</v>
      </c>
      <c r="M58" s="106">
        <v>0</v>
      </c>
      <c r="N58" s="106">
        <v>0</v>
      </c>
      <c r="O58" s="106">
        <v>0</v>
      </c>
      <c r="P58" s="106">
        <v>0</v>
      </c>
      <c r="Q58" s="106">
        <v>0</v>
      </c>
      <c r="R58" s="106">
        <v>0</v>
      </c>
      <c r="S58" s="106">
        <v>0</v>
      </c>
      <c r="T58" s="106">
        <v>0</v>
      </c>
      <c r="U58" s="106">
        <v>0</v>
      </c>
      <c r="V58" s="106">
        <v>0</v>
      </c>
      <c r="W58" s="106">
        <v>0</v>
      </c>
      <c r="X58" s="106">
        <v>0</v>
      </c>
      <c r="Y58" s="106">
        <v>0</v>
      </c>
      <c r="Z58" s="106">
        <v>0</v>
      </c>
      <c r="AA58" s="106">
        <v>0</v>
      </c>
      <c r="AB58" s="106">
        <v>0</v>
      </c>
      <c r="AC58" s="106">
        <v>0</v>
      </c>
      <c r="AD58" s="106">
        <v>0</v>
      </c>
      <c r="AE58" s="106">
        <v>0</v>
      </c>
      <c r="AF58" s="106">
        <v>0</v>
      </c>
      <c r="AG58" s="106">
        <v>0</v>
      </c>
      <c r="AH58" s="106">
        <v>0</v>
      </c>
      <c r="AI58" s="106">
        <v>0</v>
      </c>
      <c r="AJ58" s="106">
        <v>0</v>
      </c>
      <c r="AK58" s="106">
        <v>0</v>
      </c>
      <c r="AL58" s="106">
        <v>0</v>
      </c>
      <c r="AM58" s="106">
        <v>0</v>
      </c>
      <c r="AN58" s="107">
        <f t="shared" si="10"/>
        <v>1</v>
      </c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</row>
    <row r="59" spans="4:72" s="59" customFormat="1" x14ac:dyDescent="0.25">
      <c r="D59" s="75" t="s">
        <v>36</v>
      </c>
      <c r="E59" s="70">
        <v>5</v>
      </c>
      <c r="F59" s="70">
        <v>-14</v>
      </c>
      <c r="G59" s="70">
        <v>10</v>
      </c>
      <c r="H59"/>
      <c r="I59" s="106">
        <v>1</v>
      </c>
      <c r="J59" s="106">
        <v>0</v>
      </c>
      <c r="K59" s="106">
        <v>0</v>
      </c>
      <c r="L59" s="106">
        <v>0</v>
      </c>
      <c r="M59" s="106">
        <v>0</v>
      </c>
      <c r="N59" s="106">
        <v>0</v>
      </c>
      <c r="O59" s="106">
        <v>0</v>
      </c>
      <c r="P59" s="106">
        <v>0</v>
      </c>
      <c r="Q59" s="106">
        <v>0</v>
      </c>
      <c r="R59" s="106">
        <v>0</v>
      </c>
      <c r="S59" s="106">
        <v>0</v>
      </c>
      <c r="T59" s="106">
        <v>0</v>
      </c>
      <c r="U59" s="106">
        <v>0</v>
      </c>
      <c r="V59" s="106">
        <v>0</v>
      </c>
      <c r="W59" s="106">
        <v>0</v>
      </c>
      <c r="X59" s="106">
        <v>0</v>
      </c>
      <c r="Y59" s="106">
        <v>0</v>
      </c>
      <c r="Z59" s="106">
        <v>0</v>
      </c>
      <c r="AA59" s="106">
        <v>0</v>
      </c>
      <c r="AB59" s="106">
        <v>0</v>
      </c>
      <c r="AC59" s="106">
        <v>0</v>
      </c>
      <c r="AD59" s="106">
        <v>0</v>
      </c>
      <c r="AE59" s="106">
        <v>0</v>
      </c>
      <c r="AF59" s="106">
        <v>0</v>
      </c>
      <c r="AG59" s="106">
        <v>0</v>
      </c>
      <c r="AH59" s="106">
        <v>0</v>
      </c>
      <c r="AI59" s="106">
        <v>0</v>
      </c>
      <c r="AJ59" s="106">
        <v>0</v>
      </c>
      <c r="AK59" s="106">
        <v>0</v>
      </c>
      <c r="AL59" s="106">
        <v>0</v>
      </c>
      <c r="AM59" s="106">
        <v>0</v>
      </c>
      <c r="AN59" s="107">
        <f t="shared" si="10"/>
        <v>1</v>
      </c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</row>
    <row r="60" spans="4:72" s="59" customFormat="1" x14ac:dyDescent="0.25">
      <c r="D60" s="75" t="s">
        <v>37</v>
      </c>
      <c r="E60" s="70">
        <v>6</v>
      </c>
      <c r="F60" s="70">
        <v>-10</v>
      </c>
      <c r="G60" s="70">
        <v>10</v>
      </c>
      <c r="H60"/>
      <c r="I60" s="106">
        <v>1</v>
      </c>
      <c r="J60" s="106">
        <v>0</v>
      </c>
      <c r="K60" s="106">
        <v>0</v>
      </c>
      <c r="L60" s="106">
        <v>0</v>
      </c>
      <c r="M60" s="106">
        <v>0</v>
      </c>
      <c r="N60" s="106">
        <v>0</v>
      </c>
      <c r="O60" s="106">
        <v>0</v>
      </c>
      <c r="P60" s="106">
        <v>0</v>
      </c>
      <c r="Q60" s="106">
        <v>0</v>
      </c>
      <c r="R60" s="106">
        <v>0</v>
      </c>
      <c r="S60" s="106">
        <v>0</v>
      </c>
      <c r="T60" s="106">
        <v>0</v>
      </c>
      <c r="U60" s="106">
        <v>0</v>
      </c>
      <c r="V60" s="106">
        <v>0</v>
      </c>
      <c r="W60" s="106">
        <v>0</v>
      </c>
      <c r="X60" s="106">
        <v>0</v>
      </c>
      <c r="Y60" s="106">
        <v>0</v>
      </c>
      <c r="Z60" s="106">
        <v>0</v>
      </c>
      <c r="AA60" s="106">
        <v>0</v>
      </c>
      <c r="AB60" s="106">
        <v>0</v>
      </c>
      <c r="AC60" s="106">
        <v>0</v>
      </c>
      <c r="AD60" s="106">
        <v>0</v>
      </c>
      <c r="AE60" s="106">
        <v>0</v>
      </c>
      <c r="AF60" s="106">
        <v>0</v>
      </c>
      <c r="AG60" s="106">
        <v>0</v>
      </c>
      <c r="AH60" s="106">
        <v>0</v>
      </c>
      <c r="AI60" s="106">
        <v>0</v>
      </c>
      <c r="AJ60" s="106">
        <v>0</v>
      </c>
      <c r="AK60" s="106">
        <v>0</v>
      </c>
      <c r="AL60" s="106">
        <v>0</v>
      </c>
      <c r="AM60" s="106">
        <v>0</v>
      </c>
      <c r="AN60" s="107">
        <f t="shared" si="10"/>
        <v>1</v>
      </c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</row>
    <row r="61" spans="4:72" s="59" customFormat="1" x14ac:dyDescent="0.25">
      <c r="D61" s="75" t="s">
        <v>38</v>
      </c>
      <c r="E61" s="70">
        <v>7</v>
      </c>
      <c r="F61" s="70">
        <v>10</v>
      </c>
      <c r="G61" s="70">
        <v>10</v>
      </c>
      <c r="H61"/>
      <c r="I61" s="106">
        <v>1</v>
      </c>
      <c r="J61" s="106">
        <v>0</v>
      </c>
      <c r="K61" s="106">
        <v>0</v>
      </c>
      <c r="L61" s="106">
        <v>0</v>
      </c>
      <c r="M61" s="106">
        <v>0</v>
      </c>
      <c r="N61" s="106">
        <v>0</v>
      </c>
      <c r="O61" s="106">
        <v>0</v>
      </c>
      <c r="P61" s="106">
        <v>0</v>
      </c>
      <c r="Q61" s="106">
        <v>0</v>
      </c>
      <c r="R61" s="106">
        <v>0</v>
      </c>
      <c r="S61" s="106">
        <v>0</v>
      </c>
      <c r="T61" s="106">
        <v>0</v>
      </c>
      <c r="U61" s="106">
        <v>0</v>
      </c>
      <c r="V61" s="106">
        <v>0</v>
      </c>
      <c r="W61" s="106">
        <v>0</v>
      </c>
      <c r="X61" s="106">
        <v>0</v>
      </c>
      <c r="Y61" s="106">
        <v>0</v>
      </c>
      <c r="Z61" s="106">
        <v>0</v>
      </c>
      <c r="AA61" s="106">
        <v>0</v>
      </c>
      <c r="AB61" s="106">
        <v>0</v>
      </c>
      <c r="AC61" s="106">
        <v>0</v>
      </c>
      <c r="AD61" s="106">
        <v>0</v>
      </c>
      <c r="AE61" s="106">
        <v>0</v>
      </c>
      <c r="AF61" s="106">
        <v>0</v>
      </c>
      <c r="AG61" s="106">
        <v>0</v>
      </c>
      <c r="AH61" s="106">
        <v>0</v>
      </c>
      <c r="AI61" s="106">
        <v>0</v>
      </c>
      <c r="AJ61" s="106">
        <v>0</v>
      </c>
      <c r="AK61" s="106">
        <v>0</v>
      </c>
      <c r="AL61" s="106">
        <v>0</v>
      </c>
      <c r="AM61" s="106">
        <v>0</v>
      </c>
      <c r="AN61" s="107">
        <f t="shared" si="10"/>
        <v>1</v>
      </c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</row>
    <row r="62" spans="4:72" s="59" customFormat="1" x14ac:dyDescent="0.25">
      <c r="D62" s="75" t="s">
        <v>39</v>
      </c>
      <c r="E62" s="70">
        <v>8</v>
      </c>
      <c r="F62" s="70">
        <v>14</v>
      </c>
      <c r="G62" s="70">
        <v>10</v>
      </c>
      <c r="H62"/>
      <c r="I62" s="106">
        <v>1</v>
      </c>
      <c r="J62" s="106">
        <v>0</v>
      </c>
      <c r="K62" s="106">
        <v>0</v>
      </c>
      <c r="L62" s="106">
        <v>0</v>
      </c>
      <c r="M62" s="106">
        <v>0</v>
      </c>
      <c r="N62" s="106">
        <v>0</v>
      </c>
      <c r="O62" s="106">
        <v>0</v>
      </c>
      <c r="P62" s="106">
        <v>0</v>
      </c>
      <c r="Q62" s="106">
        <v>0</v>
      </c>
      <c r="R62" s="106">
        <v>0</v>
      </c>
      <c r="S62" s="106">
        <v>0</v>
      </c>
      <c r="T62" s="106">
        <v>0</v>
      </c>
      <c r="U62" s="106">
        <v>0</v>
      </c>
      <c r="V62" s="106">
        <v>0</v>
      </c>
      <c r="W62" s="106">
        <v>0</v>
      </c>
      <c r="X62" s="106">
        <v>0</v>
      </c>
      <c r="Y62" s="106">
        <v>0</v>
      </c>
      <c r="Z62" s="106">
        <v>0</v>
      </c>
      <c r="AA62" s="106">
        <v>0</v>
      </c>
      <c r="AB62" s="106">
        <v>0</v>
      </c>
      <c r="AC62" s="106">
        <v>0</v>
      </c>
      <c r="AD62" s="106">
        <v>0</v>
      </c>
      <c r="AE62" s="106">
        <v>0</v>
      </c>
      <c r="AF62" s="106">
        <v>0</v>
      </c>
      <c r="AG62" s="106">
        <v>0</v>
      </c>
      <c r="AH62" s="106">
        <v>0</v>
      </c>
      <c r="AI62" s="106">
        <v>0</v>
      </c>
      <c r="AJ62" s="106">
        <v>0</v>
      </c>
      <c r="AK62" s="106">
        <v>0</v>
      </c>
      <c r="AL62" s="106">
        <v>0</v>
      </c>
      <c r="AM62" s="106">
        <v>0</v>
      </c>
      <c r="AN62" s="107">
        <f t="shared" si="10"/>
        <v>1</v>
      </c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</row>
    <row r="63" spans="4:72" s="59" customFormat="1" x14ac:dyDescent="0.25">
      <c r="D63" s="75" t="s">
        <v>40</v>
      </c>
      <c r="E63" s="70">
        <v>9</v>
      </c>
      <c r="F63" s="70">
        <v>16</v>
      </c>
      <c r="G63" s="70">
        <v>10</v>
      </c>
      <c r="H63"/>
      <c r="I63" s="106">
        <v>1</v>
      </c>
      <c r="J63" s="106">
        <v>0</v>
      </c>
      <c r="K63" s="106">
        <v>0</v>
      </c>
      <c r="L63" s="106">
        <v>0</v>
      </c>
      <c r="M63" s="106">
        <v>0</v>
      </c>
      <c r="N63" s="106">
        <v>0</v>
      </c>
      <c r="O63" s="106">
        <v>0</v>
      </c>
      <c r="P63" s="106">
        <v>0</v>
      </c>
      <c r="Q63" s="106">
        <v>0</v>
      </c>
      <c r="R63" s="106">
        <v>0</v>
      </c>
      <c r="S63" s="106">
        <v>0</v>
      </c>
      <c r="T63" s="106">
        <v>0</v>
      </c>
      <c r="U63" s="106">
        <v>0</v>
      </c>
      <c r="V63" s="106">
        <v>0</v>
      </c>
      <c r="W63" s="106">
        <v>0</v>
      </c>
      <c r="X63" s="106">
        <v>0</v>
      </c>
      <c r="Y63" s="106">
        <v>0</v>
      </c>
      <c r="Z63" s="106">
        <v>0</v>
      </c>
      <c r="AA63" s="106">
        <v>0</v>
      </c>
      <c r="AB63" s="106">
        <v>0</v>
      </c>
      <c r="AC63" s="106">
        <v>0</v>
      </c>
      <c r="AD63" s="106">
        <v>0</v>
      </c>
      <c r="AE63" s="106">
        <v>0</v>
      </c>
      <c r="AF63" s="106">
        <v>0</v>
      </c>
      <c r="AG63" s="106">
        <v>0</v>
      </c>
      <c r="AH63" s="106">
        <v>0</v>
      </c>
      <c r="AI63" s="106">
        <v>0</v>
      </c>
      <c r="AJ63" s="106">
        <v>0</v>
      </c>
      <c r="AK63" s="106">
        <v>0</v>
      </c>
      <c r="AL63" s="106">
        <v>0</v>
      </c>
      <c r="AM63" s="106">
        <v>0</v>
      </c>
      <c r="AN63" s="107">
        <f t="shared" si="10"/>
        <v>1</v>
      </c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</row>
    <row r="64" spans="4:72" s="59" customFormat="1" x14ac:dyDescent="0.25">
      <c r="D64" s="75" t="s">
        <v>41</v>
      </c>
      <c r="E64" s="70">
        <v>10</v>
      </c>
      <c r="F64" s="70">
        <v>20</v>
      </c>
      <c r="G64" s="70">
        <v>10</v>
      </c>
      <c r="H64"/>
      <c r="I64" s="106">
        <v>1</v>
      </c>
      <c r="J64" s="106">
        <v>0</v>
      </c>
      <c r="K64" s="106">
        <v>0</v>
      </c>
      <c r="L64" s="106">
        <v>0</v>
      </c>
      <c r="M64" s="106">
        <v>0</v>
      </c>
      <c r="N64" s="106">
        <v>0</v>
      </c>
      <c r="O64" s="106">
        <v>0</v>
      </c>
      <c r="P64" s="106">
        <v>0</v>
      </c>
      <c r="Q64" s="106">
        <v>0</v>
      </c>
      <c r="R64" s="106">
        <v>0</v>
      </c>
      <c r="S64" s="106">
        <v>0</v>
      </c>
      <c r="T64" s="106">
        <v>0</v>
      </c>
      <c r="U64" s="106">
        <v>0</v>
      </c>
      <c r="V64" s="106">
        <v>0</v>
      </c>
      <c r="W64" s="106">
        <v>0</v>
      </c>
      <c r="X64" s="106">
        <v>0</v>
      </c>
      <c r="Y64" s="106">
        <v>0</v>
      </c>
      <c r="Z64" s="106">
        <v>0</v>
      </c>
      <c r="AA64" s="106">
        <v>0</v>
      </c>
      <c r="AB64" s="106">
        <v>0</v>
      </c>
      <c r="AC64" s="106">
        <v>0</v>
      </c>
      <c r="AD64" s="106">
        <v>0</v>
      </c>
      <c r="AE64" s="106">
        <v>0</v>
      </c>
      <c r="AF64" s="106">
        <v>0</v>
      </c>
      <c r="AG64" s="106">
        <v>0</v>
      </c>
      <c r="AH64" s="106">
        <v>0</v>
      </c>
      <c r="AI64" s="106">
        <v>0</v>
      </c>
      <c r="AJ64" s="106">
        <v>0</v>
      </c>
      <c r="AK64" s="106">
        <v>0</v>
      </c>
      <c r="AL64" s="106">
        <v>0</v>
      </c>
      <c r="AM64" s="106">
        <v>0</v>
      </c>
      <c r="AN64" s="107">
        <f t="shared" si="10"/>
        <v>1</v>
      </c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</row>
    <row r="65" spans="4:72" s="59" customFormat="1" x14ac:dyDescent="0.25">
      <c r="D65" s="75" t="s">
        <v>42</v>
      </c>
      <c r="E65" s="70">
        <v>11</v>
      </c>
      <c r="F65" s="70">
        <v>22</v>
      </c>
      <c r="G65" s="70">
        <v>10</v>
      </c>
      <c r="H65"/>
      <c r="I65" s="106">
        <v>1</v>
      </c>
      <c r="J65" s="106">
        <v>0</v>
      </c>
      <c r="K65" s="106">
        <v>0</v>
      </c>
      <c r="L65" s="106">
        <v>0</v>
      </c>
      <c r="M65" s="106">
        <v>0</v>
      </c>
      <c r="N65" s="106">
        <v>0</v>
      </c>
      <c r="O65" s="106">
        <v>0</v>
      </c>
      <c r="P65" s="106">
        <v>0</v>
      </c>
      <c r="Q65" s="106">
        <v>0</v>
      </c>
      <c r="R65" s="106">
        <v>0</v>
      </c>
      <c r="S65" s="106">
        <v>0</v>
      </c>
      <c r="T65" s="106">
        <v>0</v>
      </c>
      <c r="U65" s="106">
        <v>0</v>
      </c>
      <c r="V65" s="106">
        <v>0</v>
      </c>
      <c r="W65" s="106">
        <v>0</v>
      </c>
      <c r="X65" s="106">
        <v>0</v>
      </c>
      <c r="Y65" s="106">
        <v>0</v>
      </c>
      <c r="Z65" s="106">
        <v>0</v>
      </c>
      <c r="AA65" s="106">
        <v>0</v>
      </c>
      <c r="AB65" s="106">
        <v>0</v>
      </c>
      <c r="AC65" s="106">
        <v>0</v>
      </c>
      <c r="AD65" s="106">
        <v>0</v>
      </c>
      <c r="AE65" s="106">
        <v>0</v>
      </c>
      <c r="AF65" s="106">
        <v>0</v>
      </c>
      <c r="AG65" s="106">
        <v>0</v>
      </c>
      <c r="AH65" s="106">
        <v>0</v>
      </c>
      <c r="AI65" s="106">
        <v>0</v>
      </c>
      <c r="AJ65" s="106">
        <v>0</v>
      </c>
      <c r="AK65" s="106">
        <v>0</v>
      </c>
      <c r="AL65" s="106">
        <v>0</v>
      </c>
      <c r="AM65" s="106">
        <v>0</v>
      </c>
      <c r="AN65" s="107">
        <f t="shared" si="10"/>
        <v>1</v>
      </c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</row>
    <row r="66" spans="4:72" s="59" customFormat="1" x14ac:dyDescent="0.25">
      <c r="D66" s="75" t="s">
        <v>43</v>
      </c>
      <c r="E66" s="70">
        <v>12</v>
      </c>
      <c r="F66" s="70">
        <v>-22</v>
      </c>
      <c r="G66" s="70">
        <v>20</v>
      </c>
      <c r="H66"/>
      <c r="I66" s="106">
        <v>1</v>
      </c>
      <c r="J66" s="106">
        <v>0</v>
      </c>
      <c r="K66" s="106">
        <v>0</v>
      </c>
      <c r="L66" s="106">
        <v>0</v>
      </c>
      <c r="M66" s="106">
        <v>0</v>
      </c>
      <c r="N66" s="106">
        <v>0</v>
      </c>
      <c r="O66" s="106">
        <v>0</v>
      </c>
      <c r="P66" s="106">
        <v>0</v>
      </c>
      <c r="Q66" s="106">
        <v>0</v>
      </c>
      <c r="R66" s="106">
        <v>0</v>
      </c>
      <c r="S66" s="106">
        <v>0</v>
      </c>
      <c r="T66" s="106">
        <v>0</v>
      </c>
      <c r="U66" s="106">
        <v>0</v>
      </c>
      <c r="V66" s="106">
        <v>0</v>
      </c>
      <c r="W66" s="106">
        <v>0</v>
      </c>
      <c r="X66" s="106">
        <v>0</v>
      </c>
      <c r="Y66" s="106">
        <v>0</v>
      </c>
      <c r="Z66" s="106">
        <v>0</v>
      </c>
      <c r="AA66" s="106">
        <v>0</v>
      </c>
      <c r="AB66" s="106">
        <v>0</v>
      </c>
      <c r="AC66" s="106">
        <v>0</v>
      </c>
      <c r="AD66" s="106">
        <v>0</v>
      </c>
      <c r="AE66" s="106">
        <v>0</v>
      </c>
      <c r="AF66" s="106">
        <v>0</v>
      </c>
      <c r="AG66" s="106">
        <v>0</v>
      </c>
      <c r="AH66" s="106">
        <v>0</v>
      </c>
      <c r="AI66" s="106">
        <v>0</v>
      </c>
      <c r="AJ66" s="106">
        <v>0</v>
      </c>
      <c r="AK66" s="106">
        <v>0</v>
      </c>
      <c r="AL66" s="106">
        <v>0</v>
      </c>
      <c r="AM66" s="106">
        <v>0</v>
      </c>
      <c r="AN66" s="107">
        <f t="shared" si="10"/>
        <v>1</v>
      </c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</row>
    <row r="67" spans="4:72" s="59" customFormat="1" x14ac:dyDescent="0.25">
      <c r="D67" s="75" t="s">
        <v>44</v>
      </c>
      <c r="E67" s="70">
        <v>13</v>
      </c>
      <c r="F67" s="70">
        <v>-20</v>
      </c>
      <c r="G67" s="70">
        <v>20</v>
      </c>
      <c r="H67"/>
      <c r="I67" s="106">
        <v>1</v>
      </c>
      <c r="J67" s="106">
        <v>0</v>
      </c>
      <c r="K67" s="106">
        <v>0</v>
      </c>
      <c r="L67" s="106">
        <v>0</v>
      </c>
      <c r="M67" s="106">
        <v>0</v>
      </c>
      <c r="N67" s="106">
        <v>0</v>
      </c>
      <c r="O67" s="106">
        <v>0</v>
      </c>
      <c r="P67" s="106">
        <v>0</v>
      </c>
      <c r="Q67" s="106">
        <v>0</v>
      </c>
      <c r="R67" s="106">
        <v>0</v>
      </c>
      <c r="S67" s="106">
        <v>0</v>
      </c>
      <c r="T67" s="106">
        <v>0</v>
      </c>
      <c r="U67" s="106">
        <v>0</v>
      </c>
      <c r="V67" s="106">
        <v>0</v>
      </c>
      <c r="W67" s="106">
        <v>0</v>
      </c>
      <c r="X67" s="106">
        <v>0</v>
      </c>
      <c r="Y67" s="106">
        <v>0</v>
      </c>
      <c r="Z67" s="106">
        <v>0</v>
      </c>
      <c r="AA67" s="106">
        <v>0</v>
      </c>
      <c r="AB67" s="106">
        <v>0</v>
      </c>
      <c r="AC67" s="106">
        <v>0</v>
      </c>
      <c r="AD67" s="106">
        <v>0</v>
      </c>
      <c r="AE67" s="106">
        <v>0</v>
      </c>
      <c r="AF67" s="106">
        <v>0</v>
      </c>
      <c r="AG67" s="106">
        <v>0</v>
      </c>
      <c r="AH67" s="106">
        <v>0</v>
      </c>
      <c r="AI67" s="106">
        <v>0</v>
      </c>
      <c r="AJ67" s="106">
        <v>0</v>
      </c>
      <c r="AK67" s="106">
        <v>0</v>
      </c>
      <c r="AL67" s="106">
        <v>0</v>
      </c>
      <c r="AM67" s="106">
        <v>0</v>
      </c>
      <c r="AN67" s="107">
        <f t="shared" si="10"/>
        <v>1</v>
      </c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</row>
    <row r="68" spans="4:72" s="59" customFormat="1" x14ac:dyDescent="0.25">
      <c r="D68" s="75" t="s">
        <v>45</v>
      </c>
      <c r="E68" s="70">
        <v>14</v>
      </c>
      <c r="F68" s="70">
        <v>-16</v>
      </c>
      <c r="G68" s="70">
        <v>20</v>
      </c>
      <c r="H68"/>
      <c r="I68" s="106">
        <v>1</v>
      </c>
      <c r="J68" s="106">
        <v>0</v>
      </c>
      <c r="K68" s="106">
        <v>0</v>
      </c>
      <c r="L68" s="106">
        <v>0</v>
      </c>
      <c r="M68" s="106">
        <v>0</v>
      </c>
      <c r="N68" s="106">
        <v>0</v>
      </c>
      <c r="O68" s="106">
        <v>0</v>
      </c>
      <c r="P68" s="106">
        <v>0</v>
      </c>
      <c r="Q68" s="106">
        <v>0</v>
      </c>
      <c r="R68" s="106">
        <v>0</v>
      </c>
      <c r="S68" s="106">
        <v>0</v>
      </c>
      <c r="T68" s="106">
        <v>0</v>
      </c>
      <c r="U68" s="106">
        <v>0</v>
      </c>
      <c r="V68" s="106">
        <v>0</v>
      </c>
      <c r="W68" s="106">
        <v>0</v>
      </c>
      <c r="X68" s="106">
        <v>0</v>
      </c>
      <c r="Y68" s="106">
        <v>0</v>
      </c>
      <c r="Z68" s="106">
        <v>0</v>
      </c>
      <c r="AA68" s="106">
        <v>0</v>
      </c>
      <c r="AB68" s="106">
        <v>0</v>
      </c>
      <c r="AC68" s="106">
        <v>0</v>
      </c>
      <c r="AD68" s="106">
        <v>0</v>
      </c>
      <c r="AE68" s="106">
        <v>0</v>
      </c>
      <c r="AF68" s="106">
        <v>0</v>
      </c>
      <c r="AG68" s="106">
        <v>0</v>
      </c>
      <c r="AH68" s="106">
        <v>0</v>
      </c>
      <c r="AI68" s="106">
        <v>0</v>
      </c>
      <c r="AJ68" s="106">
        <v>0</v>
      </c>
      <c r="AK68" s="106">
        <v>0</v>
      </c>
      <c r="AL68" s="106">
        <v>0</v>
      </c>
      <c r="AM68" s="106">
        <v>0</v>
      </c>
      <c r="AN68" s="107">
        <f t="shared" si="10"/>
        <v>1</v>
      </c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</row>
    <row r="69" spans="4:72" s="59" customFormat="1" x14ac:dyDescent="0.25">
      <c r="D69" s="75" t="s">
        <v>46</v>
      </c>
      <c r="E69" s="70">
        <v>15</v>
      </c>
      <c r="F69" s="70">
        <v>-14</v>
      </c>
      <c r="G69" s="70">
        <v>20</v>
      </c>
      <c r="H69"/>
      <c r="I69" s="106">
        <v>1</v>
      </c>
      <c r="J69" s="106">
        <v>0</v>
      </c>
      <c r="K69" s="106">
        <v>0</v>
      </c>
      <c r="L69" s="106">
        <v>0</v>
      </c>
      <c r="M69" s="106">
        <v>0</v>
      </c>
      <c r="N69" s="106">
        <v>0</v>
      </c>
      <c r="O69" s="106">
        <v>0</v>
      </c>
      <c r="P69" s="106">
        <v>0</v>
      </c>
      <c r="Q69" s="106">
        <v>0</v>
      </c>
      <c r="R69" s="106">
        <v>0</v>
      </c>
      <c r="S69" s="106">
        <v>0</v>
      </c>
      <c r="T69" s="106">
        <v>0</v>
      </c>
      <c r="U69" s="106">
        <v>0</v>
      </c>
      <c r="V69" s="106">
        <v>0</v>
      </c>
      <c r="W69" s="106">
        <v>0</v>
      </c>
      <c r="X69" s="106">
        <v>0</v>
      </c>
      <c r="Y69" s="106">
        <v>0</v>
      </c>
      <c r="Z69" s="106">
        <v>0</v>
      </c>
      <c r="AA69" s="106">
        <v>0</v>
      </c>
      <c r="AB69" s="106">
        <v>0</v>
      </c>
      <c r="AC69" s="106">
        <v>0</v>
      </c>
      <c r="AD69" s="106">
        <v>0</v>
      </c>
      <c r="AE69" s="106">
        <v>0</v>
      </c>
      <c r="AF69" s="106">
        <v>0</v>
      </c>
      <c r="AG69" s="106">
        <v>0</v>
      </c>
      <c r="AH69" s="106">
        <v>0</v>
      </c>
      <c r="AI69" s="106">
        <v>0</v>
      </c>
      <c r="AJ69" s="106">
        <v>0</v>
      </c>
      <c r="AK69" s="106">
        <v>0</v>
      </c>
      <c r="AL69" s="106">
        <v>0</v>
      </c>
      <c r="AM69" s="106">
        <v>0</v>
      </c>
      <c r="AN69" s="107">
        <f t="shared" si="10"/>
        <v>1</v>
      </c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</row>
    <row r="70" spans="4:72" s="59" customFormat="1" x14ac:dyDescent="0.25">
      <c r="D70" s="75" t="s">
        <v>47</v>
      </c>
      <c r="E70" s="70">
        <v>16</v>
      </c>
      <c r="F70" s="70">
        <v>-10</v>
      </c>
      <c r="G70" s="70">
        <v>20</v>
      </c>
      <c r="H70"/>
      <c r="I70" s="106">
        <v>1</v>
      </c>
      <c r="J70" s="106">
        <v>0</v>
      </c>
      <c r="K70" s="106">
        <v>0</v>
      </c>
      <c r="L70" s="106">
        <v>0</v>
      </c>
      <c r="M70" s="106">
        <v>0</v>
      </c>
      <c r="N70" s="106">
        <v>0</v>
      </c>
      <c r="O70" s="106">
        <v>0</v>
      </c>
      <c r="P70" s="106">
        <v>0</v>
      </c>
      <c r="Q70" s="106">
        <v>0</v>
      </c>
      <c r="R70" s="106">
        <v>0</v>
      </c>
      <c r="S70" s="106">
        <v>0</v>
      </c>
      <c r="T70" s="106">
        <v>0</v>
      </c>
      <c r="U70" s="106">
        <v>0</v>
      </c>
      <c r="V70" s="106">
        <v>0</v>
      </c>
      <c r="W70" s="106">
        <v>0</v>
      </c>
      <c r="X70" s="106">
        <v>0</v>
      </c>
      <c r="Y70" s="106">
        <v>0</v>
      </c>
      <c r="Z70" s="106">
        <v>0</v>
      </c>
      <c r="AA70" s="106">
        <v>0</v>
      </c>
      <c r="AB70" s="106">
        <v>0</v>
      </c>
      <c r="AC70" s="106">
        <v>0</v>
      </c>
      <c r="AD70" s="106">
        <v>0</v>
      </c>
      <c r="AE70" s="106">
        <v>0</v>
      </c>
      <c r="AF70" s="106">
        <v>0</v>
      </c>
      <c r="AG70" s="106">
        <v>0</v>
      </c>
      <c r="AH70" s="106">
        <v>0</v>
      </c>
      <c r="AI70" s="106">
        <v>0</v>
      </c>
      <c r="AJ70" s="106">
        <v>0</v>
      </c>
      <c r="AK70" s="106">
        <v>0</v>
      </c>
      <c r="AL70" s="106">
        <v>0</v>
      </c>
      <c r="AM70" s="106">
        <v>0</v>
      </c>
      <c r="AN70" s="107">
        <f t="shared" si="10"/>
        <v>1</v>
      </c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</row>
    <row r="71" spans="4:72" s="59" customFormat="1" x14ac:dyDescent="0.25">
      <c r="D71" s="75" t="s">
        <v>48</v>
      </c>
      <c r="E71" s="70">
        <v>17</v>
      </c>
      <c r="F71" s="70">
        <v>10</v>
      </c>
      <c r="G71" s="70">
        <v>20</v>
      </c>
      <c r="H71"/>
      <c r="I71" s="106">
        <v>1</v>
      </c>
      <c r="J71" s="106">
        <v>0</v>
      </c>
      <c r="K71" s="106">
        <v>0</v>
      </c>
      <c r="L71" s="106">
        <v>0</v>
      </c>
      <c r="M71" s="106">
        <v>0</v>
      </c>
      <c r="N71" s="106">
        <v>0</v>
      </c>
      <c r="O71" s="106">
        <v>0</v>
      </c>
      <c r="P71" s="106">
        <v>0</v>
      </c>
      <c r="Q71" s="106">
        <v>0</v>
      </c>
      <c r="R71" s="106">
        <v>0</v>
      </c>
      <c r="S71" s="106">
        <v>0</v>
      </c>
      <c r="T71" s="106">
        <v>0</v>
      </c>
      <c r="U71" s="106">
        <v>0</v>
      </c>
      <c r="V71" s="106">
        <v>0</v>
      </c>
      <c r="W71" s="106">
        <v>0</v>
      </c>
      <c r="X71" s="106">
        <v>0</v>
      </c>
      <c r="Y71" s="106">
        <v>0</v>
      </c>
      <c r="Z71" s="106">
        <v>0</v>
      </c>
      <c r="AA71" s="106">
        <v>0</v>
      </c>
      <c r="AB71" s="106">
        <v>0</v>
      </c>
      <c r="AC71" s="106">
        <v>0</v>
      </c>
      <c r="AD71" s="106">
        <v>0</v>
      </c>
      <c r="AE71" s="106">
        <v>0</v>
      </c>
      <c r="AF71" s="106">
        <v>0</v>
      </c>
      <c r="AG71" s="106">
        <v>0</v>
      </c>
      <c r="AH71" s="106">
        <v>0</v>
      </c>
      <c r="AI71" s="106">
        <v>0</v>
      </c>
      <c r="AJ71" s="106">
        <v>0</v>
      </c>
      <c r="AK71" s="106">
        <v>0</v>
      </c>
      <c r="AL71" s="106">
        <v>0</v>
      </c>
      <c r="AM71" s="106">
        <v>0</v>
      </c>
      <c r="AN71" s="107">
        <f t="shared" si="10"/>
        <v>1</v>
      </c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</row>
    <row r="72" spans="4:72" s="59" customFormat="1" x14ac:dyDescent="0.25">
      <c r="D72" s="75" t="s">
        <v>49</v>
      </c>
      <c r="E72" s="70">
        <v>18</v>
      </c>
      <c r="F72" s="70">
        <v>14</v>
      </c>
      <c r="G72" s="70">
        <v>20</v>
      </c>
      <c r="H72"/>
      <c r="I72" s="106">
        <v>1</v>
      </c>
      <c r="J72" s="106">
        <v>0</v>
      </c>
      <c r="K72" s="106">
        <v>0</v>
      </c>
      <c r="L72" s="106">
        <v>0</v>
      </c>
      <c r="M72" s="106">
        <v>0</v>
      </c>
      <c r="N72" s="106">
        <v>0</v>
      </c>
      <c r="O72" s="106">
        <v>0</v>
      </c>
      <c r="P72" s="106">
        <v>0</v>
      </c>
      <c r="Q72" s="106">
        <v>0</v>
      </c>
      <c r="R72" s="106">
        <v>0</v>
      </c>
      <c r="S72" s="106">
        <v>0</v>
      </c>
      <c r="T72" s="106">
        <v>0</v>
      </c>
      <c r="U72" s="106">
        <v>0</v>
      </c>
      <c r="V72" s="106">
        <v>0</v>
      </c>
      <c r="W72" s="106">
        <v>0</v>
      </c>
      <c r="X72" s="106">
        <v>0</v>
      </c>
      <c r="Y72" s="106">
        <v>0</v>
      </c>
      <c r="Z72" s="106">
        <v>0</v>
      </c>
      <c r="AA72" s="106">
        <v>0</v>
      </c>
      <c r="AB72" s="106">
        <v>0</v>
      </c>
      <c r="AC72" s="106">
        <v>0</v>
      </c>
      <c r="AD72" s="106">
        <v>0</v>
      </c>
      <c r="AE72" s="106">
        <v>0</v>
      </c>
      <c r="AF72" s="106">
        <v>0</v>
      </c>
      <c r="AG72" s="106">
        <v>0</v>
      </c>
      <c r="AH72" s="106">
        <v>0</v>
      </c>
      <c r="AI72" s="106">
        <v>0</v>
      </c>
      <c r="AJ72" s="106">
        <v>0</v>
      </c>
      <c r="AK72" s="106">
        <v>0</v>
      </c>
      <c r="AL72" s="106">
        <v>0</v>
      </c>
      <c r="AM72" s="106">
        <v>0</v>
      </c>
      <c r="AN72" s="107">
        <f t="shared" si="10"/>
        <v>1</v>
      </c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</row>
    <row r="73" spans="4:72" s="59" customFormat="1" x14ac:dyDescent="0.25">
      <c r="D73" s="75" t="s">
        <v>50</v>
      </c>
      <c r="E73" s="70">
        <v>19</v>
      </c>
      <c r="F73" s="70">
        <v>16</v>
      </c>
      <c r="G73" s="70">
        <v>20</v>
      </c>
      <c r="H73"/>
      <c r="I73" s="106">
        <v>1</v>
      </c>
      <c r="J73" s="106">
        <v>0</v>
      </c>
      <c r="K73" s="106">
        <v>0</v>
      </c>
      <c r="L73" s="106">
        <v>0</v>
      </c>
      <c r="M73" s="106">
        <v>0</v>
      </c>
      <c r="N73" s="106">
        <v>0</v>
      </c>
      <c r="O73" s="106">
        <v>0</v>
      </c>
      <c r="P73" s="106">
        <v>0</v>
      </c>
      <c r="Q73" s="106">
        <v>0</v>
      </c>
      <c r="R73" s="106">
        <v>0</v>
      </c>
      <c r="S73" s="106">
        <v>0</v>
      </c>
      <c r="T73" s="106">
        <v>0</v>
      </c>
      <c r="U73" s="106">
        <v>0</v>
      </c>
      <c r="V73" s="106">
        <v>0</v>
      </c>
      <c r="W73" s="106">
        <v>0</v>
      </c>
      <c r="X73" s="106">
        <v>0</v>
      </c>
      <c r="Y73" s="106">
        <v>0</v>
      </c>
      <c r="Z73" s="106">
        <v>0</v>
      </c>
      <c r="AA73" s="106">
        <v>0</v>
      </c>
      <c r="AB73" s="106">
        <v>0</v>
      </c>
      <c r="AC73" s="106">
        <v>0</v>
      </c>
      <c r="AD73" s="106">
        <v>0</v>
      </c>
      <c r="AE73" s="106">
        <v>0</v>
      </c>
      <c r="AF73" s="106">
        <v>0</v>
      </c>
      <c r="AG73" s="106">
        <v>0</v>
      </c>
      <c r="AH73" s="106">
        <v>0</v>
      </c>
      <c r="AI73" s="106">
        <v>0</v>
      </c>
      <c r="AJ73" s="106">
        <v>0</v>
      </c>
      <c r="AK73" s="106">
        <v>0</v>
      </c>
      <c r="AL73" s="106">
        <v>0</v>
      </c>
      <c r="AM73" s="106">
        <v>0</v>
      </c>
      <c r="AN73" s="107">
        <f t="shared" si="10"/>
        <v>1</v>
      </c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</row>
    <row r="74" spans="4:72" s="59" customFormat="1" x14ac:dyDescent="0.25">
      <c r="D74" s="75" t="s">
        <v>51</v>
      </c>
      <c r="E74" s="70">
        <v>20</v>
      </c>
      <c r="F74" s="70">
        <v>20</v>
      </c>
      <c r="G74" s="70">
        <v>20</v>
      </c>
      <c r="H74"/>
      <c r="I74" s="106">
        <v>1</v>
      </c>
      <c r="J74" s="106">
        <v>0</v>
      </c>
      <c r="K74" s="106">
        <v>0</v>
      </c>
      <c r="L74" s="106">
        <v>0</v>
      </c>
      <c r="M74" s="106">
        <v>0</v>
      </c>
      <c r="N74" s="106">
        <v>0</v>
      </c>
      <c r="O74" s="106">
        <v>0</v>
      </c>
      <c r="P74" s="106">
        <v>0</v>
      </c>
      <c r="Q74" s="106">
        <v>0</v>
      </c>
      <c r="R74" s="106">
        <v>0</v>
      </c>
      <c r="S74" s="106">
        <v>0</v>
      </c>
      <c r="T74" s="106">
        <v>0</v>
      </c>
      <c r="U74" s="106">
        <v>0</v>
      </c>
      <c r="V74" s="106">
        <v>0</v>
      </c>
      <c r="W74" s="106">
        <v>0</v>
      </c>
      <c r="X74" s="106">
        <v>0</v>
      </c>
      <c r="Y74" s="106">
        <v>0</v>
      </c>
      <c r="Z74" s="106">
        <v>0</v>
      </c>
      <c r="AA74" s="106">
        <v>0</v>
      </c>
      <c r="AB74" s="106">
        <v>0</v>
      </c>
      <c r="AC74" s="106">
        <v>0</v>
      </c>
      <c r="AD74" s="106">
        <v>0</v>
      </c>
      <c r="AE74" s="106">
        <v>0</v>
      </c>
      <c r="AF74" s="106">
        <v>0</v>
      </c>
      <c r="AG74" s="106">
        <v>0</v>
      </c>
      <c r="AH74" s="106">
        <v>0</v>
      </c>
      <c r="AI74" s="106">
        <v>0</v>
      </c>
      <c r="AJ74" s="106">
        <v>0</v>
      </c>
      <c r="AK74" s="106">
        <v>0</v>
      </c>
      <c r="AL74" s="106">
        <v>0</v>
      </c>
      <c r="AM74" s="106">
        <v>0</v>
      </c>
      <c r="AN74" s="107">
        <f t="shared" si="10"/>
        <v>1</v>
      </c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</row>
    <row r="75" spans="4:72" s="59" customFormat="1" x14ac:dyDescent="0.25">
      <c r="D75" s="75" t="s">
        <v>52</v>
      </c>
      <c r="E75" s="70">
        <v>21</v>
      </c>
      <c r="F75" s="70">
        <v>22</v>
      </c>
      <c r="G75" s="70">
        <v>20</v>
      </c>
      <c r="H75"/>
      <c r="I75" s="106">
        <v>1</v>
      </c>
      <c r="J75" s="106">
        <v>0</v>
      </c>
      <c r="K75" s="106">
        <v>0</v>
      </c>
      <c r="L75" s="106">
        <v>0</v>
      </c>
      <c r="M75" s="106">
        <v>0</v>
      </c>
      <c r="N75" s="106">
        <v>0</v>
      </c>
      <c r="O75" s="106">
        <v>0</v>
      </c>
      <c r="P75" s="106">
        <v>0</v>
      </c>
      <c r="Q75" s="106">
        <v>0</v>
      </c>
      <c r="R75" s="106">
        <v>0</v>
      </c>
      <c r="S75" s="106">
        <v>0</v>
      </c>
      <c r="T75" s="106">
        <v>0</v>
      </c>
      <c r="U75" s="106">
        <v>0</v>
      </c>
      <c r="V75" s="106">
        <v>0</v>
      </c>
      <c r="W75" s="106">
        <v>0</v>
      </c>
      <c r="X75" s="106">
        <v>0</v>
      </c>
      <c r="Y75" s="106">
        <v>0</v>
      </c>
      <c r="Z75" s="106">
        <v>0</v>
      </c>
      <c r="AA75" s="106">
        <v>0</v>
      </c>
      <c r="AB75" s="106">
        <v>0</v>
      </c>
      <c r="AC75" s="106">
        <v>0</v>
      </c>
      <c r="AD75" s="106">
        <v>0</v>
      </c>
      <c r="AE75" s="106">
        <v>0</v>
      </c>
      <c r="AF75" s="106">
        <v>0</v>
      </c>
      <c r="AG75" s="106">
        <v>0</v>
      </c>
      <c r="AH75" s="106">
        <v>0</v>
      </c>
      <c r="AI75" s="106">
        <v>0</v>
      </c>
      <c r="AJ75" s="106">
        <v>0</v>
      </c>
      <c r="AK75" s="106">
        <v>0</v>
      </c>
      <c r="AL75" s="106">
        <v>0</v>
      </c>
      <c r="AM75" s="106">
        <v>0</v>
      </c>
      <c r="AN75" s="107">
        <f t="shared" si="10"/>
        <v>1</v>
      </c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</row>
    <row r="76" spans="4:72" s="59" customFormat="1" x14ac:dyDescent="0.25">
      <c r="D76" s="75" t="s">
        <v>53</v>
      </c>
      <c r="E76" s="70">
        <v>22</v>
      </c>
      <c r="F76" s="70">
        <v>-22</v>
      </c>
      <c r="G76" s="70">
        <v>30</v>
      </c>
      <c r="H76"/>
      <c r="I76" s="106">
        <v>1</v>
      </c>
      <c r="J76" s="106">
        <v>0</v>
      </c>
      <c r="K76" s="106">
        <v>0</v>
      </c>
      <c r="L76" s="106">
        <v>0</v>
      </c>
      <c r="M76" s="106">
        <v>0</v>
      </c>
      <c r="N76" s="106">
        <v>0</v>
      </c>
      <c r="O76" s="106">
        <v>0</v>
      </c>
      <c r="P76" s="106">
        <v>0</v>
      </c>
      <c r="Q76" s="106">
        <v>0</v>
      </c>
      <c r="R76" s="106">
        <v>0</v>
      </c>
      <c r="S76" s="106">
        <v>0</v>
      </c>
      <c r="T76" s="106">
        <v>0</v>
      </c>
      <c r="U76" s="106">
        <v>0</v>
      </c>
      <c r="V76" s="106">
        <v>0</v>
      </c>
      <c r="W76" s="106">
        <v>0</v>
      </c>
      <c r="X76" s="106">
        <v>0</v>
      </c>
      <c r="Y76" s="106">
        <v>0</v>
      </c>
      <c r="Z76" s="106">
        <v>0</v>
      </c>
      <c r="AA76" s="106">
        <v>0</v>
      </c>
      <c r="AB76" s="106">
        <v>0</v>
      </c>
      <c r="AC76" s="106">
        <v>0</v>
      </c>
      <c r="AD76" s="106">
        <v>0</v>
      </c>
      <c r="AE76" s="106">
        <v>0</v>
      </c>
      <c r="AF76" s="106">
        <v>0</v>
      </c>
      <c r="AG76" s="106">
        <v>0</v>
      </c>
      <c r="AH76" s="106">
        <v>0</v>
      </c>
      <c r="AI76" s="106">
        <v>0</v>
      </c>
      <c r="AJ76" s="106">
        <v>0</v>
      </c>
      <c r="AK76" s="106">
        <v>0</v>
      </c>
      <c r="AL76" s="106">
        <v>0</v>
      </c>
      <c r="AM76" s="106">
        <v>0</v>
      </c>
      <c r="AN76" s="107">
        <f t="shared" si="10"/>
        <v>1</v>
      </c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</row>
    <row r="77" spans="4:72" s="59" customFormat="1" x14ac:dyDescent="0.25">
      <c r="D77" s="75" t="s">
        <v>54</v>
      </c>
      <c r="E77" s="70">
        <v>23</v>
      </c>
      <c r="F77" s="70">
        <v>-20</v>
      </c>
      <c r="G77" s="70">
        <v>30</v>
      </c>
      <c r="H77"/>
      <c r="I77" s="106">
        <v>1</v>
      </c>
      <c r="J77" s="106">
        <v>0</v>
      </c>
      <c r="K77" s="106">
        <v>0</v>
      </c>
      <c r="L77" s="106">
        <v>0</v>
      </c>
      <c r="M77" s="106">
        <v>0</v>
      </c>
      <c r="N77" s="106">
        <v>0</v>
      </c>
      <c r="O77" s="106">
        <v>0</v>
      </c>
      <c r="P77" s="106">
        <v>0</v>
      </c>
      <c r="Q77" s="106">
        <v>0</v>
      </c>
      <c r="R77" s="106">
        <v>0</v>
      </c>
      <c r="S77" s="106">
        <v>0</v>
      </c>
      <c r="T77" s="106">
        <v>0</v>
      </c>
      <c r="U77" s="106">
        <v>0</v>
      </c>
      <c r="V77" s="106">
        <v>0</v>
      </c>
      <c r="W77" s="106">
        <v>0</v>
      </c>
      <c r="X77" s="106">
        <v>0</v>
      </c>
      <c r="Y77" s="106">
        <v>0</v>
      </c>
      <c r="Z77" s="106">
        <v>0</v>
      </c>
      <c r="AA77" s="106">
        <v>0</v>
      </c>
      <c r="AB77" s="106">
        <v>0</v>
      </c>
      <c r="AC77" s="106">
        <v>0</v>
      </c>
      <c r="AD77" s="106">
        <v>0</v>
      </c>
      <c r="AE77" s="106">
        <v>0</v>
      </c>
      <c r="AF77" s="106">
        <v>0</v>
      </c>
      <c r="AG77" s="106">
        <v>0</v>
      </c>
      <c r="AH77" s="106">
        <v>0</v>
      </c>
      <c r="AI77" s="106">
        <v>0</v>
      </c>
      <c r="AJ77" s="106">
        <v>0</v>
      </c>
      <c r="AK77" s="106">
        <v>0</v>
      </c>
      <c r="AL77" s="106">
        <v>0</v>
      </c>
      <c r="AM77" s="106">
        <v>0</v>
      </c>
      <c r="AN77" s="107">
        <f t="shared" si="10"/>
        <v>1</v>
      </c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</row>
    <row r="78" spans="4:72" s="59" customFormat="1" x14ac:dyDescent="0.25">
      <c r="D78" s="75" t="s">
        <v>55</v>
      </c>
      <c r="E78" s="70">
        <v>24</v>
      </c>
      <c r="F78" s="70">
        <v>-16</v>
      </c>
      <c r="G78" s="70">
        <v>30</v>
      </c>
      <c r="H78"/>
      <c r="I78" s="106">
        <v>1</v>
      </c>
      <c r="J78" s="106">
        <v>0</v>
      </c>
      <c r="K78" s="106">
        <v>0</v>
      </c>
      <c r="L78" s="106">
        <v>0</v>
      </c>
      <c r="M78" s="106">
        <v>0</v>
      </c>
      <c r="N78" s="106">
        <v>0</v>
      </c>
      <c r="O78" s="106">
        <v>0</v>
      </c>
      <c r="P78" s="106">
        <v>0</v>
      </c>
      <c r="Q78" s="106">
        <v>0</v>
      </c>
      <c r="R78" s="106">
        <v>0</v>
      </c>
      <c r="S78" s="106">
        <v>0</v>
      </c>
      <c r="T78" s="106">
        <v>0</v>
      </c>
      <c r="U78" s="106">
        <v>0</v>
      </c>
      <c r="V78" s="106">
        <v>0</v>
      </c>
      <c r="W78" s="106">
        <v>0</v>
      </c>
      <c r="X78" s="106">
        <v>0</v>
      </c>
      <c r="Y78" s="106">
        <v>0</v>
      </c>
      <c r="Z78" s="106">
        <v>0</v>
      </c>
      <c r="AA78" s="106">
        <v>0</v>
      </c>
      <c r="AB78" s="106">
        <v>0</v>
      </c>
      <c r="AC78" s="106">
        <v>0</v>
      </c>
      <c r="AD78" s="106">
        <v>0</v>
      </c>
      <c r="AE78" s="106">
        <v>0</v>
      </c>
      <c r="AF78" s="106">
        <v>0</v>
      </c>
      <c r="AG78" s="106">
        <v>0</v>
      </c>
      <c r="AH78" s="106">
        <v>0</v>
      </c>
      <c r="AI78" s="106">
        <v>0</v>
      </c>
      <c r="AJ78" s="106">
        <v>0</v>
      </c>
      <c r="AK78" s="106">
        <v>0</v>
      </c>
      <c r="AL78" s="106">
        <v>0</v>
      </c>
      <c r="AM78" s="106">
        <v>0</v>
      </c>
      <c r="AN78" s="107">
        <f t="shared" si="10"/>
        <v>1</v>
      </c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</row>
    <row r="79" spans="4:72" s="59" customFormat="1" x14ac:dyDescent="0.25">
      <c r="D79" s="75" t="s">
        <v>56</v>
      </c>
      <c r="E79" s="70">
        <v>25</v>
      </c>
      <c r="F79" s="70">
        <v>-14</v>
      </c>
      <c r="G79" s="70">
        <v>30</v>
      </c>
      <c r="H79"/>
      <c r="I79" s="106">
        <v>1</v>
      </c>
      <c r="J79" s="106">
        <v>0</v>
      </c>
      <c r="K79" s="106">
        <v>0</v>
      </c>
      <c r="L79" s="106">
        <v>0</v>
      </c>
      <c r="M79" s="106">
        <v>0</v>
      </c>
      <c r="N79" s="106">
        <v>0</v>
      </c>
      <c r="O79" s="106">
        <v>0</v>
      </c>
      <c r="P79" s="106">
        <v>0</v>
      </c>
      <c r="Q79" s="106">
        <v>0</v>
      </c>
      <c r="R79" s="106">
        <v>0</v>
      </c>
      <c r="S79" s="106">
        <v>0</v>
      </c>
      <c r="T79" s="106">
        <v>0</v>
      </c>
      <c r="U79" s="106">
        <v>0</v>
      </c>
      <c r="V79" s="106">
        <v>0</v>
      </c>
      <c r="W79" s="106">
        <v>0</v>
      </c>
      <c r="X79" s="106">
        <v>0</v>
      </c>
      <c r="Y79" s="106">
        <v>0</v>
      </c>
      <c r="Z79" s="106">
        <v>0</v>
      </c>
      <c r="AA79" s="106">
        <v>0</v>
      </c>
      <c r="AB79" s="106">
        <v>0</v>
      </c>
      <c r="AC79" s="106">
        <v>0</v>
      </c>
      <c r="AD79" s="106">
        <v>0</v>
      </c>
      <c r="AE79" s="106">
        <v>0</v>
      </c>
      <c r="AF79" s="106">
        <v>0</v>
      </c>
      <c r="AG79" s="106">
        <v>0</v>
      </c>
      <c r="AH79" s="106">
        <v>0</v>
      </c>
      <c r="AI79" s="106">
        <v>0</v>
      </c>
      <c r="AJ79" s="106">
        <v>0</v>
      </c>
      <c r="AK79" s="106">
        <v>0</v>
      </c>
      <c r="AL79" s="106">
        <v>0</v>
      </c>
      <c r="AM79" s="106">
        <v>0</v>
      </c>
      <c r="AN79" s="107">
        <f t="shared" si="10"/>
        <v>1</v>
      </c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</row>
    <row r="80" spans="4:72" s="59" customFormat="1" x14ac:dyDescent="0.25">
      <c r="D80" s="75" t="s">
        <v>57</v>
      </c>
      <c r="E80" s="70">
        <v>26</v>
      </c>
      <c r="F80" s="70">
        <v>-10</v>
      </c>
      <c r="G80" s="70">
        <v>30</v>
      </c>
      <c r="H80"/>
      <c r="I80" s="106">
        <v>1</v>
      </c>
      <c r="J80" s="106">
        <v>0</v>
      </c>
      <c r="K80" s="106">
        <v>0</v>
      </c>
      <c r="L80" s="106">
        <v>0</v>
      </c>
      <c r="M80" s="106">
        <v>0</v>
      </c>
      <c r="N80" s="106">
        <v>0</v>
      </c>
      <c r="O80" s="106">
        <v>0</v>
      </c>
      <c r="P80" s="106">
        <v>0</v>
      </c>
      <c r="Q80" s="106">
        <v>0</v>
      </c>
      <c r="R80" s="106">
        <v>0</v>
      </c>
      <c r="S80" s="106">
        <v>0</v>
      </c>
      <c r="T80" s="106">
        <v>0</v>
      </c>
      <c r="U80" s="106">
        <v>0</v>
      </c>
      <c r="V80" s="106">
        <v>0</v>
      </c>
      <c r="W80" s="106">
        <v>0</v>
      </c>
      <c r="X80" s="106">
        <v>0</v>
      </c>
      <c r="Y80" s="106">
        <v>0</v>
      </c>
      <c r="Z80" s="106">
        <v>0</v>
      </c>
      <c r="AA80" s="106">
        <v>0</v>
      </c>
      <c r="AB80" s="106">
        <v>0</v>
      </c>
      <c r="AC80" s="106">
        <v>0</v>
      </c>
      <c r="AD80" s="106">
        <v>0</v>
      </c>
      <c r="AE80" s="106">
        <v>0</v>
      </c>
      <c r="AF80" s="106">
        <v>0</v>
      </c>
      <c r="AG80" s="106">
        <v>0</v>
      </c>
      <c r="AH80" s="106">
        <v>0</v>
      </c>
      <c r="AI80" s="106">
        <v>0</v>
      </c>
      <c r="AJ80" s="106">
        <v>0</v>
      </c>
      <c r="AK80" s="106">
        <v>0</v>
      </c>
      <c r="AL80" s="106">
        <v>0</v>
      </c>
      <c r="AM80" s="106">
        <v>0</v>
      </c>
      <c r="AN80" s="107">
        <f t="shared" si="10"/>
        <v>1</v>
      </c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</row>
    <row r="81" spans="4:72" s="59" customFormat="1" x14ac:dyDescent="0.25">
      <c r="D81" s="75" t="s">
        <v>58</v>
      </c>
      <c r="E81" s="70">
        <v>27</v>
      </c>
      <c r="F81" s="70">
        <v>20</v>
      </c>
      <c r="G81" s="70">
        <v>30</v>
      </c>
      <c r="H81"/>
      <c r="I81" s="106">
        <v>1</v>
      </c>
      <c r="J81" s="106">
        <v>0</v>
      </c>
      <c r="K81" s="106">
        <v>0</v>
      </c>
      <c r="L81" s="106">
        <v>0</v>
      </c>
      <c r="M81" s="106">
        <v>0</v>
      </c>
      <c r="N81" s="106">
        <v>0</v>
      </c>
      <c r="O81" s="106">
        <v>0</v>
      </c>
      <c r="P81" s="106">
        <v>0</v>
      </c>
      <c r="Q81" s="106">
        <v>0</v>
      </c>
      <c r="R81" s="106">
        <v>0</v>
      </c>
      <c r="S81" s="106">
        <v>0</v>
      </c>
      <c r="T81" s="106">
        <v>0</v>
      </c>
      <c r="U81" s="106">
        <v>0</v>
      </c>
      <c r="V81" s="106">
        <v>0</v>
      </c>
      <c r="W81" s="106">
        <v>0</v>
      </c>
      <c r="X81" s="106">
        <v>0</v>
      </c>
      <c r="Y81" s="106">
        <v>0</v>
      </c>
      <c r="Z81" s="106">
        <v>0</v>
      </c>
      <c r="AA81" s="106">
        <v>0</v>
      </c>
      <c r="AB81" s="106">
        <v>0</v>
      </c>
      <c r="AC81" s="106">
        <v>0</v>
      </c>
      <c r="AD81" s="106">
        <v>0</v>
      </c>
      <c r="AE81" s="106">
        <v>0</v>
      </c>
      <c r="AF81" s="106">
        <v>0</v>
      </c>
      <c r="AG81" s="106">
        <v>0</v>
      </c>
      <c r="AH81" s="106">
        <v>0</v>
      </c>
      <c r="AI81" s="106">
        <v>0</v>
      </c>
      <c r="AJ81" s="106">
        <v>0</v>
      </c>
      <c r="AK81" s="106">
        <v>0</v>
      </c>
      <c r="AL81" s="106">
        <v>0</v>
      </c>
      <c r="AM81" s="106">
        <v>0</v>
      </c>
      <c r="AN81" s="107">
        <f t="shared" si="10"/>
        <v>1</v>
      </c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</row>
    <row r="82" spans="4:72" s="59" customFormat="1" x14ac:dyDescent="0.25">
      <c r="D82" s="75" t="s">
        <v>59</v>
      </c>
      <c r="E82" s="70">
        <v>28</v>
      </c>
      <c r="F82" s="70">
        <v>14</v>
      </c>
      <c r="G82" s="70">
        <v>30</v>
      </c>
      <c r="H82"/>
      <c r="I82" s="106">
        <v>1</v>
      </c>
      <c r="J82" s="106">
        <v>0</v>
      </c>
      <c r="K82" s="106">
        <v>0</v>
      </c>
      <c r="L82" s="106">
        <v>0</v>
      </c>
      <c r="M82" s="106">
        <v>0</v>
      </c>
      <c r="N82" s="106">
        <v>0</v>
      </c>
      <c r="O82" s="106">
        <v>0</v>
      </c>
      <c r="P82" s="106">
        <v>0</v>
      </c>
      <c r="Q82" s="106">
        <v>0</v>
      </c>
      <c r="R82" s="106">
        <v>0</v>
      </c>
      <c r="S82" s="106">
        <v>0</v>
      </c>
      <c r="T82" s="106">
        <v>0</v>
      </c>
      <c r="U82" s="106">
        <v>0</v>
      </c>
      <c r="V82" s="106">
        <v>0</v>
      </c>
      <c r="W82" s="106">
        <v>0</v>
      </c>
      <c r="X82" s="106">
        <v>0</v>
      </c>
      <c r="Y82" s="106">
        <v>0</v>
      </c>
      <c r="Z82" s="106">
        <v>0</v>
      </c>
      <c r="AA82" s="106">
        <v>0</v>
      </c>
      <c r="AB82" s="106">
        <v>0</v>
      </c>
      <c r="AC82" s="106">
        <v>0</v>
      </c>
      <c r="AD82" s="106">
        <v>0</v>
      </c>
      <c r="AE82" s="106">
        <v>0</v>
      </c>
      <c r="AF82" s="106">
        <v>0</v>
      </c>
      <c r="AG82" s="106">
        <v>0</v>
      </c>
      <c r="AH82" s="106">
        <v>0</v>
      </c>
      <c r="AI82" s="106">
        <v>0</v>
      </c>
      <c r="AJ82" s="106">
        <v>0</v>
      </c>
      <c r="AK82" s="106">
        <v>0</v>
      </c>
      <c r="AL82" s="106">
        <v>0</v>
      </c>
      <c r="AM82" s="106">
        <v>0</v>
      </c>
      <c r="AN82" s="107">
        <f t="shared" si="10"/>
        <v>1</v>
      </c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</row>
    <row r="83" spans="4:72" s="59" customFormat="1" x14ac:dyDescent="0.25">
      <c r="D83" s="75" t="s">
        <v>60</v>
      </c>
      <c r="E83" s="70">
        <v>29</v>
      </c>
      <c r="F83" s="70">
        <v>16</v>
      </c>
      <c r="G83" s="70">
        <v>30</v>
      </c>
      <c r="H83"/>
      <c r="I83" s="106">
        <v>1</v>
      </c>
      <c r="J83" s="106">
        <v>0</v>
      </c>
      <c r="K83" s="106">
        <v>0</v>
      </c>
      <c r="L83" s="106">
        <v>0</v>
      </c>
      <c r="M83" s="106">
        <v>0</v>
      </c>
      <c r="N83" s="106">
        <v>0</v>
      </c>
      <c r="O83" s="106">
        <v>0</v>
      </c>
      <c r="P83" s="106">
        <v>0</v>
      </c>
      <c r="Q83" s="106">
        <v>0</v>
      </c>
      <c r="R83" s="106">
        <v>0</v>
      </c>
      <c r="S83" s="106">
        <v>0</v>
      </c>
      <c r="T83" s="106">
        <v>0</v>
      </c>
      <c r="U83" s="106">
        <v>0</v>
      </c>
      <c r="V83" s="106">
        <v>0</v>
      </c>
      <c r="W83" s="106">
        <v>0</v>
      </c>
      <c r="X83" s="106">
        <v>0</v>
      </c>
      <c r="Y83" s="106">
        <v>0</v>
      </c>
      <c r="Z83" s="106">
        <v>0</v>
      </c>
      <c r="AA83" s="106">
        <v>0</v>
      </c>
      <c r="AB83" s="106">
        <v>0</v>
      </c>
      <c r="AC83" s="106">
        <v>0</v>
      </c>
      <c r="AD83" s="106">
        <v>0</v>
      </c>
      <c r="AE83" s="106">
        <v>0</v>
      </c>
      <c r="AF83" s="106">
        <v>0</v>
      </c>
      <c r="AG83" s="106">
        <v>0</v>
      </c>
      <c r="AH83" s="106">
        <v>0</v>
      </c>
      <c r="AI83" s="106">
        <v>0</v>
      </c>
      <c r="AJ83" s="106">
        <v>0</v>
      </c>
      <c r="AK83" s="106">
        <v>0</v>
      </c>
      <c r="AL83" s="106">
        <v>0</v>
      </c>
      <c r="AM83" s="106">
        <v>0</v>
      </c>
      <c r="AN83" s="107">
        <f t="shared" si="10"/>
        <v>1</v>
      </c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</row>
    <row r="84" spans="4:72" s="59" customFormat="1" x14ac:dyDescent="0.25">
      <c r="D84" s="75" t="s">
        <v>61</v>
      </c>
      <c r="E84" s="70">
        <v>30</v>
      </c>
      <c r="F84" s="70">
        <v>20</v>
      </c>
      <c r="G84" s="70">
        <v>30</v>
      </c>
      <c r="H84"/>
      <c r="I84" s="106">
        <v>1</v>
      </c>
      <c r="J84" s="106">
        <v>0</v>
      </c>
      <c r="K84" s="106">
        <v>0</v>
      </c>
      <c r="L84" s="106">
        <v>0</v>
      </c>
      <c r="M84" s="106">
        <v>0</v>
      </c>
      <c r="N84" s="106">
        <v>0</v>
      </c>
      <c r="O84" s="106">
        <v>0</v>
      </c>
      <c r="P84" s="106">
        <v>0</v>
      </c>
      <c r="Q84" s="106">
        <v>0</v>
      </c>
      <c r="R84" s="106">
        <v>0</v>
      </c>
      <c r="S84" s="106">
        <v>0</v>
      </c>
      <c r="T84" s="106">
        <v>0</v>
      </c>
      <c r="U84" s="106">
        <v>0</v>
      </c>
      <c r="V84" s="106">
        <v>0</v>
      </c>
      <c r="W84" s="106">
        <v>0</v>
      </c>
      <c r="X84" s="106">
        <v>0</v>
      </c>
      <c r="Y84" s="106">
        <v>0</v>
      </c>
      <c r="Z84" s="106">
        <v>0</v>
      </c>
      <c r="AA84" s="106">
        <v>0</v>
      </c>
      <c r="AB84" s="106">
        <v>0</v>
      </c>
      <c r="AC84" s="106">
        <v>0</v>
      </c>
      <c r="AD84" s="106">
        <v>0</v>
      </c>
      <c r="AE84" s="106">
        <v>0</v>
      </c>
      <c r="AF84" s="106">
        <v>0</v>
      </c>
      <c r="AG84" s="106">
        <v>0</v>
      </c>
      <c r="AH84" s="106">
        <v>0</v>
      </c>
      <c r="AI84" s="106">
        <v>0</v>
      </c>
      <c r="AJ84" s="106">
        <v>0</v>
      </c>
      <c r="AK84" s="106">
        <v>0</v>
      </c>
      <c r="AL84" s="106">
        <v>0</v>
      </c>
      <c r="AM84" s="106">
        <v>0</v>
      </c>
      <c r="AN84" s="107">
        <f t="shared" si="10"/>
        <v>1</v>
      </c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</row>
    <row r="85" spans="4:72" s="59" customFormat="1" x14ac:dyDescent="0.25">
      <c r="D85" s="75" t="s">
        <v>62</v>
      </c>
      <c r="E85" s="70">
        <v>31</v>
      </c>
      <c r="F85" s="70">
        <v>22</v>
      </c>
      <c r="G85" s="70">
        <v>30</v>
      </c>
      <c r="H85"/>
      <c r="I85" s="106">
        <v>1</v>
      </c>
      <c r="J85" s="106">
        <v>0</v>
      </c>
      <c r="K85" s="106">
        <v>0</v>
      </c>
      <c r="L85" s="106">
        <v>0</v>
      </c>
      <c r="M85" s="106">
        <v>0</v>
      </c>
      <c r="N85" s="106">
        <v>0</v>
      </c>
      <c r="O85" s="106">
        <v>0</v>
      </c>
      <c r="P85" s="106">
        <v>0</v>
      </c>
      <c r="Q85" s="106">
        <v>0</v>
      </c>
      <c r="R85" s="106">
        <v>0</v>
      </c>
      <c r="S85" s="106">
        <v>0</v>
      </c>
      <c r="T85" s="106">
        <v>0</v>
      </c>
      <c r="U85" s="106">
        <v>0</v>
      </c>
      <c r="V85" s="106">
        <v>0</v>
      </c>
      <c r="W85" s="106">
        <v>0</v>
      </c>
      <c r="X85" s="106">
        <v>0</v>
      </c>
      <c r="Y85" s="106">
        <v>0</v>
      </c>
      <c r="Z85" s="106">
        <v>0</v>
      </c>
      <c r="AA85" s="106">
        <v>0</v>
      </c>
      <c r="AB85" s="106">
        <v>0</v>
      </c>
      <c r="AC85" s="106">
        <v>0</v>
      </c>
      <c r="AD85" s="106">
        <v>0</v>
      </c>
      <c r="AE85" s="106">
        <v>0</v>
      </c>
      <c r="AF85" s="106">
        <v>0</v>
      </c>
      <c r="AG85" s="106">
        <v>0</v>
      </c>
      <c r="AH85" s="106">
        <v>0</v>
      </c>
      <c r="AI85" s="106">
        <v>0</v>
      </c>
      <c r="AJ85" s="106">
        <v>0</v>
      </c>
      <c r="AK85" s="106">
        <v>0</v>
      </c>
      <c r="AL85" s="106">
        <v>0</v>
      </c>
      <c r="AM85" s="106">
        <v>0</v>
      </c>
      <c r="AN85" s="107">
        <f t="shared" si="10"/>
        <v>1</v>
      </c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</row>
    <row r="86" spans="4:72" s="59" customFormat="1" x14ac:dyDescent="0.25">
      <c r="D86" s="58"/>
      <c r="H86" t="s">
        <v>72</v>
      </c>
      <c r="I86" s="70">
        <f>SUM(I55:I85)</f>
        <v>31</v>
      </c>
      <c r="J86" s="107">
        <f t="shared" ref="J86:AM86" si="11">SUM(J55:J85)</f>
        <v>1</v>
      </c>
      <c r="K86" s="107">
        <f t="shared" si="11"/>
        <v>1</v>
      </c>
      <c r="L86" s="107">
        <f t="shared" si="11"/>
        <v>1</v>
      </c>
      <c r="M86" s="107">
        <f t="shared" si="11"/>
        <v>1</v>
      </c>
      <c r="N86" s="107">
        <f t="shared" si="11"/>
        <v>1</v>
      </c>
      <c r="O86" s="107">
        <f t="shared" si="11"/>
        <v>1</v>
      </c>
      <c r="P86" s="107">
        <f t="shared" si="11"/>
        <v>1</v>
      </c>
      <c r="Q86" s="107">
        <f t="shared" si="11"/>
        <v>1</v>
      </c>
      <c r="R86" s="107">
        <f t="shared" si="11"/>
        <v>1</v>
      </c>
      <c r="S86" s="107">
        <f t="shared" si="11"/>
        <v>1</v>
      </c>
      <c r="T86" s="107">
        <f t="shared" si="11"/>
        <v>1</v>
      </c>
      <c r="U86" s="107">
        <f t="shared" si="11"/>
        <v>1</v>
      </c>
      <c r="V86" s="107">
        <f t="shared" si="11"/>
        <v>1</v>
      </c>
      <c r="W86" s="107">
        <f t="shared" si="11"/>
        <v>1</v>
      </c>
      <c r="X86" s="107">
        <f t="shared" si="11"/>
        <v>1</v>
      </c>
      <c r="Y86" s="107">
        <f t="shared" si="11"/>
        <v>1</v>
      </c>
      <c r="Z86" s="107">
        <f t="shared" si="11"/>
        <v>1</v>
      </c>
      <c r="AA86" s="107">
        <f t="shared" si="11"/>
        <v>1</v>
      </c>
      <c r="AB86" s="107">
        <f t="shared" si="11"/>
        <v>1</v>
      </c>
      <c r="AC86" s="107">
        <f t="shared" si="11"/>
        <v>1</v>
      </c>
      <c r="AD86" s="107">
        <f t="shared" si="11"/>
        <v>1</v>
      </c>
      <c r="AE86" s="107">
        <f t="shared" si="11"/>
        <v>1</v>
      </c>
      <c r="AF86" s="107">
        <f t="shared" si="11"/>
        <v>1</v>
      </c>
      <c r="AG86" s="107">
        <f t="shared" si="11"/>
        <v>1</v>
      </c>
      <c r="AH86" s="107">
        <f t="shared" si="11"/>
        <v>1</v>
      </c>
      <c r="AI86" s="107">
        <f t="shared" si="11"/>
        <v>1</v>
      </c>
      <c r="AJ86" s="107">
        <f t="shared" si="11"/>
        <v>1</v>
      </c>
      <c r="AK86" s="107">
        <f t="shared" si="11"/>
        <v>1</v>
      </c>
      <c r="AL86" s="107">
        <f t="shared" si="11"/>
        <v>1</v>
      </c>
      <c r="AM86" s="107">
        <f t="shared" si="11"/>
        <v>1</v>
      </c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</row>
    <row r="98" spans="4:72" s="59" customFormat="1" x14ac:dyDescent="0.25">
      <c r="D98" s="58"/>
      <c r="H98" s="66" t="s">
        <v>31</v>
      </c>
      <c r="I98" s="67" t="s">
        <v>32</v>
      </c>
      <c r="J98" s="67" t="s">
        <v>33</v>
      </c>
      <c r="K98" s="67" t="s">
        <v>34</v>
      </c>
      <c r="L98" s="67" t="s">
        <v>35</v>
      </c>
      <c r="M98" s="67" t="s">
        <v>36</v>
      </c>
      <c r="N98" s="67" t="s">
        <v>37</v>
      </c>
      <c r="O98" s="67" t="s">
        <v>38</v>
      </c>
      <c r="P98" s="67" t="s">
        <v>39</v>
      </c>
      <c r="Q98" s="67" t="s">
        <v>40</v>
      </c>
      <c r="R98" s="67" t="s">
        <v>41</v>
      </c>
      <c r="S98" s="67" t="s">
        <v>42</v>
      </c>
      <c r="T98" s="67" t="s">
        <v>43</v>
      </c>
      <c r="U98" s="67" t="s">
        <v>44</v>
      </c>
      <c r="V98" s="67" t="s">
        <v>45</v>
      </c>
      <c r="W98" s="67" t="s">
        <v>46</v>
      </c>
      <c r="X98" s="67" t="s">
        <v>47</v>
      </c>
      <c r="Y98" s="67" t="s">
        <v>48</v>
      </c>
      <c r="Z98" s="67" t="s">
        <v>49</v>
      </c>
      <c r="AA98" s="67" t="s">
        <v>50</v>
      </c>
      <c r="AB98" s="67" t="s">
        <v>51</v>
      </c>
      <c r="AC98" s="67" t="s">
        <v>52</v>
      </c>
      <c r="AD98" s="67" t="s">
        <v>53</v>
      </c>
      <c r="AE98" s="67" t="s">
        <v>54</v>
      </c>
      <c r="AF98" s="67" t="s">
        <v>55</v>
      </c>
      <c r="AG98" s="67" t="s">
        <v>56</v>
      </c>
      <c r="AH98" s="67" t="s">
        <v>57</v>
      </c>
      <c r="AI98" s="67" t="s">
        <v>58</v>
      </c>
      <c r="AJ98" s="67" t="s">
        <v>59</v>
      </c>
      <c r="AK98" s="67" t="s">
        <v>60</v>
      </c>
      <c r="AL98" s="67" t="s">
        <v>61</v>
      </c>
      <c r="AM98" s="67" t="s">
        <v>62</v>
      </c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</row>
    <row r="99" spans="4:72" s="59" customFormat="1" x14ac:dyDescent="0.25">
      <c r="D99" s="58"/>
      <c r="H99" s="69" t="s">
        <v>63</v>
      </c>
      <c r="I99" s="70">
        <v>1</v>
      </c>
      <c r="J99" s="70">
        <v>2</v>
      </c>
      <c r="K99" s="70">
        <v>3</v>
      </c>
      <c r="L99" s="70">
        <v>4</v>
      </c>
      <c r="M99" s="70">
        <v>5</v>
      </c>
      <c r="N99" s="70">
        <v>6</v>
      </c>
      <c r="O99" s="70">
        <v>7</v>
      </c>
      <c r="P99" s="70">
        <v>8</v>
      </c>
      <c r="Q99" s="70">
        <v>9</v>
      </c>
      <c r="R99" s="70">
        <v>10</v>
      </c>
      <c r="S99" s="70">
        <v>11</v>
      </c>
      <c r="T99" s="70">
        <v>12</v>
      </c>
      <c r="U99" s="70">
        <v>13</v>
      </c>
      <c r="V99" s="70">
        <v>14</v>
      </c>
      <c r="W99" s="70">
        <v>15</v>
      </c>
      <c r="X99" s="70">
        <v>16</v>
      </c>
      <c r="Y99" s="70">
        <v>17</v>
      </c>
      <c r="Z99" s="70">
        <v>18</v>
      </c>
      <c r="AA99" s="70">
        <v>19</v>
      </c>
      <c r="AB99" s="70">
        <v>20</v>
      </c>
      <c r="AC99" s="70">
        <v>21</v>
      </c>
      <c r="AD99" s="70">
        <v>22</v>
      </c>
      <c r="AE99" s="70">
        <v>23</v>
      </c>
      <c r="AF99" s="70">
        <v>24</v>
      </c>
      <c r="AG99" s="70">
        <v>25</v>
      </c>
      <c r="AH99" s="70">
        <v>26</v>
      </c>
      <c r="AI99" s="70">
        <v>27</v>
      </c>
      <c r="AJ99" s="70">
        <v>28</v>
      </c>
      <c r="AK99" s="70">
        <v>29</v>
      </c>
      <c r="AL99" s="70">
        <v>30</v>
      </c>
      <c r="AM99" s="70">
        <v>31</v>
      </c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</row>
    <row r="100" spans="4:72" x14ac:dyDescent="0.25">
      <c r="H100" s="69" t="s">
        <v>64</v>
      </c>
      <c r="I100" s="70">
        <f t="shared" ref="I100" ca="1" si="12">OFFSET($F$8,I99,0)</f>
        <v>0</v>
      </c>
      <c r="J100" s="70">
        <f ca="1">OFFSET($F$8,J99,0)</f>
        <v>-22</v>
      </c>
      <c r="K100" s="70">
        <f t="shared" ref="K100:AM100" ca="1" si="13">OFFSET($F$8,K99,0)</f>
        <v>-20</v>
      </c>
      <c r="L100" s="70">
        <f t="shared" ca="1" si="13"/>
        <v>-16</v>
      </c>
      <c r="M100" s="70">
        <f t="shared" ca="1" si="13"/>
        <v>-14</v>
      </c>
      <c r="N100" s="70">
        <f t="shared" ca="1" si="13"/>
        <v>-10</v>
      </c>
      <c r="O100" s="70">
        <f t="shared" ca="1" si="13"/>
        <v>10</v>
      </c>
      <c r="P100" s="70">
        <f t="shared" ca="1" si="13"/>
        <v>14</v>
      </c>
      <c r="Q100" s="70">
        <f t="shared" ca="1" si="13"/>
        <v>16</v>
      </c>
      <c r="R100" s="70">
        <f t="shared" ca="1" si="13"/>
        <v>20</v>
      </c>
      <c r="S100" s="70">
        <f t="shared" ca="1" si="13"/>
        <v>22</v>
      </c>
      <c r="T100" s="70">
        <f t="shared" ca="1" si="13"/>
        <v>-22</v>
      </c>
      <c r="U100" s="70">
        <f t="shared" ca="1" si="13"/>
        <v>-20</v>
      </c>
      <c r="V100" s="70">
        <f t="shared" ca="1" si="13"/>
        <v>-16</v>
      </c>
      <c r="W100" s="70">
        <f t="shared" ca="1" si="13"/>
        <v>-14</v>
      </c>
      <c r="X100" s="70">
        <f t="shared" ca="1" si="13"/>
        <v>-10</v>
      </c>
      <c r="Y100" s="70">
        <f t="shared" ca="1" si="13"/>
        <v>10</v>
      </c>
      <c r="Z100" s="70">
        <f t="shared" ca="1" si="13"/>
        <v>14</v>
      </c>
      <c r="AA100" s="70">
        <f t="shared" ca="1" si="13"/>
        <v>16</v>
      </c>
      <c r="AB100" s="70">
        <f t="shared" ca="1" si="13"/>
        <v>20</v>
      </c>
      <c r="AC100" s="70">
        <f t="shared" ca="1" si="13"/>
        <v>22</v>
      </c>
      <c r="AD100" s="70">
        <f t="shared" ca="1" si="13"/>
        <v>-22</v>
      </c>
      <c r="AE100" s="70">
        <f t="shared" ca="1" si="13"/>
        <v>-20</v>
      </c>
      <c r="AF100" s="70">
        <f t="shared" ca="1" si="13"/>
        <v>-16</v>
      </c>
      <c r="AG100" s="70">
        <f t="shared" ca="1" si="13"/>
        <v>-14</v>
      </c>
      <c r="AH100" s="70">
        <f t="shared" ca="1" si="13"/>
        <v>-10</v>
      </c>
      <c r="AI100" s="70">
        <f t="shared" ca="1" si="13"/>
        <v>20</v>
      </c>
      <c r="AJ100" s="70">
        <f t="shared" ca="1" si="13"/>
        <v>14</v>
      </c>
      <c r="AK100" s="70">
        <f t="shared" ca="1" si="13"/>
        <v>16</v>
      </c>
      <c r="AL100" s="70">
        <f t="shared" ca="1" si="13"/>
        <v>20</v>
      </c>
      <c r="AM100" s="70">
        <f t="shared" ca="1" si="13"/>
        <v>22</v>
      </c>
    </row>
    <row r="101" spans="4:72" x14ac:dyDescent="0.25">
      <c r="H101" s="69" t="s">
        <v>65</v>
      </c>
      <c r="I101" s="70">
        <f t="shared" ref="I101:AM101" ca="1" si="14">OFFSET($G$8,I99,0)</f>
        <v>0</v>
      </c>
      <c r="J101" s="70">
        <f t="shared" ca="1" si="14"/>
        <v>10</v>
      </c>
      <c r="K101" s="70">
        <f t="shared" ca="1" si="14"/>
        <v>10</v>
      </c>
      <c r="L101" s="70">
        <f t="shared" ca="1" si="14"/>
        <v>10</v>
      </c>
      <c r="M101" s="70">
        <f t="shared" ca="1" si="14"/>
        <v>10</v>
      </c>
      <c r="N101" s="70">
        <f t="shared" ca="1" si="14"/>
        <v>10</v>
      </c>
      <c r="O101" s="70">
        <f t="shared" ca="1" si="14"/>
        <v>10</v>
      </c>
      <c r="P101" s="70">
        <f t="shared" ca="1" si="14"/>
        <v>10</v>
      </c>
      <c r="Q101" s="70">
        <f t="shared" ca="1" si="14"/>
        <v>10</v>
      </c>
      <c r="R101" s="70">
        <f t="shared" ca="1" si="14"/>
        <v>10</v>
      </c>
      <c r="S101" s="70">
        <f t="shared" ca="1" si="14"/>
        <v>10</v>
      </c>
      <c r="T101" s="70">
        <f t="shared" ca="1" si="14"/>
        <v>20</v>
      </c>
      <c r="U101" s="70">
        <f t="shared" ca="1" si="14"/>
        <v>20</v>
      </c>
      <c r="V101" s="70">
        <f t="shared" ca="1" si="14"/>
        <v>20</v>
      </c>
      <c r="W101" s="70">
        <f t="shared" ca="1" si="14"/>
        <v>20</v>
      </c>
      <c r="X101" s="70">
        <f t="shared" ca="1" si="14"/>
        <v>20</v>
      </c>
      <c r="Y101" s="70">
        <f t="shared" ca="1" si="14"/>
        <v>20</v>
      </c>
      <c r="Z101" s="70">
        <f t="shared" ca="1" si="14"/>
        <v>20</v>
      </c>
      <c r="AA101" s="70">
        <f t="shared" ca="1" si="14"/>
        <v>20</v>
      </c>
      <c r="AB101" s="70">
        <f t="shared" ca="1" si="14"/>
        <v>20</v>
      </c>
      <c r="AC101" s="70">
        <f t="shared" ca="1" si="14"/>
        <v>20</v>
      </c>
      <c r="AD101" s="70">
        <f t="shared" ca="1" si="14"/>
        <v>30</v>
      </c>
      <c r="AE101" s="70">
        <f t="shared" ca="1" si="14"/>
        <v>30</v>
      </c>
      <c r="AF101" s="70">
        <f t="shared" ca="1" si="14"/>
        <v>30</v>
      </c>
      <c r="AG101" s="70">
        <f t="shared" ca="1" si="14"/>
        <v>30</v>
      </c>
      <c r="AH101" s="70">
        <f t="shared" ca="1" si="14"/>
        <v>30</v>
      </c>
      <c r="AI101" s="70">
        <f t="shared" ca="1" si="14"/>
        <v>32</v>
      </c>
      <c r="AJ101" s="70">
        <f t="shared" ca="1" si="14"/>
        <v>30</v>
      </c>
      <c r="AK101" s="70">
        <f t="shared" ca="1" si="14"/>
        <v>30</v>
      </c>
      <c r="AL101" s="70">
        <f t="shared" ca="1" si="14"/>
        <v>30</v>
      </c>
      <c r="AM101" s="70">
        <f t="shared" ca="1" si="14"/>
        <v>30</v>
      </c>
    </row>
    <row r="102" spans="4:72" ht="45" x14ac:dyDescent="0.25">
      <c r="D102" s="73" t="s">
        <v>31</v>
      </c>
      <c r="E102" s="69" t="s">
        <v>63</v>
      </c>
      <c r="F102" s="69" t="s">
        <v>64</v>
      </c>
      <c r="G102" s="69" t="s">
        <v>65</v>
      </c>
      <c r="H102" s="59" t="s">
        <v>68</v>
      </c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70" t="s">
        <v>73</v>
      </c>
      <c r="AO102" s="70" t="s">
        <v>74</v>
      </c>
      <c r="AP102" s="70" t="s">
        <v>75</v>
      </c>
      <c r="AQ102" s="70" t="s">
        <v>3</v>
      </c>
      <c r="AR102" s="146" t="s">
        <v>76</v>
      </c>
      <c r="AS102" s="144" t="s">
        <v>77</v>
      </c>
    </row>
    <row r="103" spans="4:72" x14ac:dyDescent="0.25">
      <c r="D103" s="75" t="s">
        <v>32</v>
      </c>
      <c r="E103" s="70">
        <v>1</v>
      </c>
      <c r="F103" s="70">
        <v>0</v>
      </c>
      <c r="G103" s="70">
        <v>0</v>
      </c>
      <c r="I103" s="106">
        <v>0</v>
      </c>
      <c r="J103" s="106">
        <v>20</v>
      </c>
      <c r="K103" s="106">
        <v>20</v>
      </c>
      <c r="L103" s="106">
        <v>20</v>
      </c>
      <c r="M103" s="106">
        <v>20</v>
      </c>
      <c r="N103" s="106">
        <v>20</v>
      </c>
      <c r="O103" s="106">
        <v>20</v>
      </c>
      <c r="P103" s="106">
        <v>20</v>
      </c>
      <c r="Q103" s="106">
        <v>20</v>
      </c>
      <c r="R103" s="106">
        <v>20</v>
      </c>
      <c r="S103" s="106">
        <v>20</v>
      </c>
      <c r="T103" s="106">
        <v>20</v>
      </c>
      <c r="U103" s="106">
        <v>20</v>
      </c>
      <c r="V103" s="106">
        <v>20</v>
      </c>
      <c r="W103" s="106">
        <v>20</v>
      </c>
      <c r="X103" s="106">
        <v>20</v>
      </c>
      <c r="Y103" s="106">
        <v>20</v>
      </c>
      <c r="Z103" s="106">
        <v>20</v>
      </c>
      <c r="AA103" s="106">
        <v>20</v>
      </c>
      <c r="AB103" s="106">
        <v>20</v>
      </c>
      <c r="AC103" s="106">
        <v>20</v>
      </c>
      <c r="AD103" s="106">
        <v>20</v>
      </c>
      <c r="AE103" s="106">
        <v>20</v>
      </c>
      <c r="AF103" s="106">
        <v>20</v>
      </c>
      <c r="AG103" s="106">
        <v>20</v>
      </c>
      <c r="AH103" s="106">
        <v>20</v>
      </c>
      <c r="AI103" s="106">
        <v>20</v>
      </c>
      <c r="AJ103" s="106">
        <v>20</v>
      </c>
      <c r="AK103" s="106">
        <v>20</v>
      </c>
      <c r="AL103" s="106">
        <v>20</v>
      </c>
      <c r="AM103" s="108">
        <v>20</v>
      </c>
      <c r="AN103" s="70">
        <f>SUM(I103:AM103)</f>
        <v>600</v>
      </c>
      <c r="AO103" s="70">
        <f t="array" ref="AO103:AO133">TRANSPOSE(I134:AM134)</f>
        <v>0</v>
      </c>
      <c r="AS103" s="145"/>
    </row>
    <row r="104" spans="4:72" x14ac:dyDescent="0.25">
      <c r="D104" s="75" t="s">
        <v>33</v>
      </c>
      <c r="E104" s="70">
        <v>2</v>
      </c>
      <c r="F104" s="70">
        <v>-22</v>
      </c>
      <c r="G104" s="70">
        <v>10</v>
      </c>
      <c r="I104" s="106">
        <v>0</v>
      </c>
      <c r="J104" s="106">
        <v>0</v>
      </c>
      <c r="K104" s="106">
        <v>0</v>
      </c>
      <c r="L104" s="106">
        <v>0</v>
      </c>
      <c r="M104" s="106">
        <v>0</v>
      </c>
      <c r="N104" s="106">
        <v>0</v>
      </c>
      <c r="O104" s="106">
        <v>0</v>
      </c>
      <c r="P104" s="106">
        <v>0</v>
      </c>
      <c r="Q104" s="106">
        <v>0</v>
      </c>
      <c r="R104" s="106">
        <v>0</v>
      </c>
      <c r="S104" s="106">
        <v>0</v>
      </c>
      <c r="T104" s="106">
        <v>0</v>
      </c>
      <c r="U104" s="106">
        <v>0</v>
      </c>
      <c r="V104" s="106">
        <v>0</v>
      </c>
      <c r="W104" s="106">
        <v>0</v>
      </c>
      <c r="X104" s="106">
        <v>0</v>
      </c>
      <c r="Y104" s="106">
        <v>0</v>
      </c>
      <c r="Z104" s="106">
        <v>0</v>
      </c>
      <c r="AA104" s="106">
        <v>0</v>
      </c>
      <c r="AB104" s="106">
        <v>0</v>
      </c>
      <c r="AC104" s="106">
        <v>0</v>
      </c>
      <c r="AD104" s="106">
        <v>0</v>
      </c>
      <c r="AE104" s="106">
        <v>0</v>
      </c>
      <c r="AF104" s="106">
        <v>0</v>
      </c>
      <c r="AG104" s="106">
        <v>0</v>
      </c>
      <c r="AH104" s="106">
        <v>0</v>
      </c>
      <c r="AI104" s="106">
        <v>0</v>
      </c>
      <c r="AJ104" s="106">
        <v>0</v>
      </c>
      <c r="AK104" s="106">
        <v>0</v>
      </c>
      <c r="AL104" s="106">
        <v>0</v>
      </c>
      <c r="AM104" s="108">
        <v>0</v>
      </c>
      <c r="AN104" s="70">
        <f t="shared" ref="AN104:AN133" si="15">SUM(I104:AM104)</f>
        <v>0</v>
      </c>
      <c r="AO104" s="70">
        <v>20</v>
      </c>
      <c r="AP104" s="107">
        <f>AO104-AN104</f>
        <v>20</v>
      </c>
      <c r="AQ104" s="109">
        <v>20</v>
      </c>
      <c r="AR104" s="70">
        <v>89</v>
      </c>
      <c r="AS104" s="144">
        <f>AQ104*AR104</f>
        <v>1780</v>
      </c>
      <c r="AU104">
        <f>AR104+20</f>
        <v>109</v>
      </c>
    </row>
    <row r="105" spans="4:72" x14ac:dyDescent="0.25">
      <c r="D105" s="75" t="s">
        <v>34</v>
      </c>
      <c r="E105" s="70">
        <v>3</v>
      </c>
      <c r="F105" s="70">
        <v>-20</v>
      </c>
      <c r="G105" s="70">
        <v>10</v>
      </c>
      <c r="I105" s="106">
        <v>0</v>
      </c>
      <c r="J105" s="106">
        <v>0</v>
      </c>
      <c r="K105" s="106">
        <v>0</v>
      </c>
      <c r="L105" s="106">
        <v>0</v>
      </c>
      <c r="M105" s="106">
        <v>0</v>
      </c>
      <c r="N105" s="106">
        <v>0</v>
      </c>
      <c r="O105" s="106">
        <v>0</v>
      </c>
      <c r="P105" s="106">
        <v>0</v>
      </c>
      <c r="Q105" s="106">
        <v>0</v>
      </c>
      <c r="R105" s="106">
        <v>0</v>
      </c>
      <c r="S105" s="106">
        <v>0</v>
      </c>
      <c r="T105" s="106">
        <v>0</v>
      </c>
      <c r="U105" s="106">
        <v>0</v>
      </c>
      <c r="V105" s="106">
        <v>0</v>
      </c>
      <c r="W105" s="106">
        <v>0</v>
      </c>
      <c r="X105" s="106">
        <v>0</v>
      </c>
      <c r="Y105" s="106">
        <v>0</v>
      </c>
      <c r="Z105" s="106">
        <v>0</v>
      </c>
      <c r="AA105" s="106">
        <v>0</v>
      </c>
      <c r="AB105" s="106">
        <v>0</v>
      </c>
      <c r="AC105" s="106">
        <v>0</v>
      </c>
      <c r="AD105" s="106">
        <v>0</v>
      </c>
      <c r="AE105" s="106">
        <v>0</v>
      </c>
      <c r="AF105" s="106">
        <v>0</v>
      </c>
      <c r="AG105" s="106">
        <v>0</v>
      </c>
      <c r="AH105" s="106">
        <v>0</v>
      </c>
      <c r="AI105" s="106">
        <v>0</v>
      </c>
      <c r="AJ105" s="106">
        <v>0</v>
      </c>
      <c r="AK105" s="106">
        <v>0</v>
      </c>
      <c r="AL105" s="106">
        <v>0</v>
      </c>
      <c r="AM105" s="108">
        <v>0</v>
      </c>
      <c r="AN105" s="70">
        <f t="shared" si="15"/>
        <v>0</v>
      </c>
      <c r="AO105" s="70">
        <v>20</v>
      </c>
      <c r="AP105" s="107">
        <f t="shared" ref="AP104:AP133" si="16">AO105-AN105</f>
        <v>20</v>
      </c>
      <c r="AQ105" s="109">
        <v>20</v>
      </c>
      <c r="AR105" s="70">
        <v>95</v>
      </c>
      <c r="AS105" s="144">
        <f>AQ105*AR105</f>
        <v>1900</v>
      </c>
      <c r="AU105">
        <f t="shared" ref="AU105:AU133" si="17">AR105+20</f>
        <v>115</v>
      </c>
    </row>
    <row r="106" spans="4:72" x14ac:dyDescent="0.25">
      <c r="D106" s="75" t="s">
        <v>35</v>
      </c>
      <c r="E106" s="70">
        <v>4</v>
      </c>
      <c r="F106" s="70">
        <v>-16</v>
      </c>
      <c r="G106" s="70">
        <v>10</v>
      </c>
      <c r="I106" s="106">
        <v>0</v>
      </c>
      <c r="J106" s="106">
        <v>0</v>
      </c>
      <c r="K106" s="106">
        <v>0</v>
      </c>
      <c r="L106" s="106">
        <v>0</v>
      </c>
      <c r="M106" s="106">
        <v>0</v>
      </c>
      <c r="N106" s="106">
        <v>0</v>
      </c>
      <c r="O106" s="106">
        <v>0</v>
      </c>
      <c r="P106" s="106">
        <v>0</v>
      </c>
      <c r="Q106" s="106">
        <v>0</v>
      </c>
      <c r="R106" s="106">
        <v>0</v>
      </c>
      <c r="S106" s="106">
        <v>0</v>
      </c>
      <c r="T106" s="106">
        <v>0</v>
      </c>
      <c r="U106" s="106">
        <v>0</v>
      </c>
      <c r="V106" s="106">
        <v>0</v>
      </c>
      <c r="W106" s="106">
        <v>0</v>
      </c>
      <c r="X106" s="106">
        <v>0</v>
      </c>
      <c r="Y106" s="106">
        <v>0</v>
      </c>
      <c r="Z106" s="106">
        <v>0</v>
      </c>
      <c r="AA106" s="106">
        <v>0</v>
      </c>
      <c r="AB106" s="106">
        <v>0</v>
      </c>
      <c r="AC106" s="106">
        <v>0</v>
      </c>
      <c r="AD106" s="106">
        <v>0</v>
      </c>
      <c r="AE106" s="106">
        <v>0</v>
      </c>
      <c r="AF106" s="106">
        <v>0</v>
      </c>
      <c r="AG106" s="106">
        <v>0</v>
      </c>
      <c r="AH106" s="106">
        <v>0</v>
      </c>
      <c r="AI106" s="106">
        <v>0</v>
      </c>
      <c r="AJ106" s="106">
        <v>0</v>
      </c>
      <c r="AK106" s="106">
        <v>0</v>
      </c>
      <c r="AL106" s="106">
        <v>0</v>
      </c>
      <c r="AM106" s="108">
        <v>0</v>
      </c>
      <c r="AN106" s="70">
        <f t="shared" si="15"/>
        <v>0</v>
      </c>
      <c r="AO106" s="70">
        <v>20</v>
      </c>
      <c r="AP106" s="107">
        <f t="shared" si="16"/>
        <v>20</v>
      </c>
      <c r="AQ106" s="109">
        <v>20</v>
      </c>
      <c r="AR106" s="70">
        <v>61</v>
      </c>
      <c r="AS106" s="144">
        <f>AQ106*AR106</f>
        <v>1220</v>
      </c>
      <c r="AU106">
        <f t="shared" si="17"/>
        <v>81</v>
      </c>
    </row>
    <row r="107" spans="4:72" x14ac:dyDescent="0.25">
      <c r="D107" s="75" t="s">
        <v>36</v>
      </c>
      <c r="E107" s="70">
        <v>5</v>
      </c>
      <c r="F107" s="70">
        <v>-14</v>
      </c>
      <c r="G107" s="70">
        <v>10</v>
      </c>
      <c r="I107" s="106">
        <v>0</v>
      </c>
      <c r="J107" s="106">
        <v>0</v>
      </c>
      <c r="K107" s="106">
        <v>0</v>
      </c>
      <c r="L107" s="106">
        <v>0</v>
      </c>
      <c r="M107" s="106">
        <v>0</v>
      </c>
      <c r="N107" s="106">
        <v>0</v>
      </c>
      <c r="O107" s="106">
        <v>0</v>
      </c>
      <c r="P107" s="106">
        <v>0</v>
      </c>
      <c r="Q107" s="106">
        <v>0</v>
      </c>
      <c r="R107" s="106">
        <v>0</v>
      </c>
      <c r="S107" s="106">
        <v>0</v>
      </c>
      <c r="T107" s="106">
        <v>0</v>
      </c>
      <c r="U107" s="106">
        <v>0</v>
      </c>
      <c r="V107" s="106">
        <v>0</v>
      </c>
      <c r="W107" s="106">
        <v>0</v>
      </c>
      <c r="X107" s="106">
        <v>0</v>
      </c>
      <c r="Y107" s="106">
        <v>0</v>
      </c>
      <c r="Z107" s="106">
        <v>0</v>
      </c>
      <c r="AA107" s="106">
        <v>0</v>
      </c>
      <c r="AB107" s="106">
        <v>0</v>
      </c>
      <c r="AC107" s="106">
        <v>0</v>
      </c>
      <c r="AD107" s="106">
        <v>0</v>
      </c>
      <c r="AE107" s="106">
        <v>0</v>
      </c>
      <c r="AF107" s="106">
        <v>0</v>
      </c>
      <c r="AG107" s="106">
        <v>0</v>
      </c>
      <c r="AH107" s="106">
        <v>0</v>
      </c>
      <c r="AI107" s="106">
        <v>0</v>
      </c>
      <c r="AJ107" s="106">
        <v>0</v>
      </c>
      <c r="AK107" s="106">
        <v>0</v>
      </c>
      <c r="AL107" s="106">
        <v>0</v>
      </c>
      <c r="AM107" s="108">
        <v>0</v>
      </c>
      <c r="AN107" s="70">
        <f t="shared" si="15"/>
        <v>0</v>
      </c>
      <c r="AO107" s="70">
        <v>20</v>
      </c>
      <c r="AP107" s="107">
        <f t="shared" si="16"/>
        <v>20</v>
      </c>
      <c r="AQ107" s="109">
        <v>20</v>
      </c>
      <c r="AR107" s="70">
        <v>96</v>
      </c>
      <c r="AS107" s="144">
        <f t="shared" ref="AS107:AS133" si="18">AQ107*AR107</f>
        <v>1920</v>
      </c>
      <c r="AU107">
        <f t="shared" si="17"/>
        <v>116</v>
      </c>
    </row>
    <row r="108" spans="4:72" x14ac:dyDescent="0.25">
      <c r="D108" s="75" t="s">
        <v>37</v>
      </c>
      <c r="E108" s="70">
        <v>6</v>
      </c>
      <c r="F108" s="70">
        <v>-10</v>
      </c>
      <c r="G108" s="70">
        <v>10</v>
      </c>
      <c r="I108" s="106">
        <v>0</v>
      </c>
      <c r="J108" s="106">
        <v>0</v>
      </c>
      <c r="K108" s="106">
        <v>0</v>
      </c>
      <c r="L108" s="106">
        <v>0</v>
      </c>
      <c r="M108" s="106">
        <v>0</v>
      </c>
      <c r="N108" s="106">
        <v>0</v>
      </c>
      <c r="O108" s="106">
        <v>0</v>
      </c>
      <c r="P108" s="106">
        <v>0</v>
      </c>
      <c r="Q108" s="106">
        <v>0</v>
      </c>
      <c r="R108" s="106">
        <v>0</v>
      </c>
      <c r="S108" s="106">
        <v>0</v>
      </c>
      <c r="T108" s="106">
        <v>0</v>
      </c>
      <c r="U108" s="106">
        <v>0</v>
      </c>
      <c r="V108" s="106">
        <v>0</v>
      </c>
      <c r="W108" s="106">
        <v>0</v>
      </c>
      <c r="X108" s="106">
        <v>0</v>
      </c>
      <c r="Y108" s="106">
        <v>0</v>
      </c>
      <c r="Z108" s="106">
        <v>0</v>
      </c>
      <c r="AA108" s="106">
        <v>0</v>
      </c>
      <c r="AB108" s="106">
        <v>0</v>
      </c>
      <c r="AC108" s="106">
        <v>0</v>
      </c>
      <c r="AD108" s="106">
        <v>0</v>
      </c>
      <c r="AE108" s="106">
        <v>0</v>
      </c>
      <c r="AF108" s="106">
        <v>0</v>
      </c>
      <c r="AG108" s="106">
        <v>0</v>
      </c>
      <c r="AH108" s="106">
        <v>0</v>
      </c>
      <c r="AI108" s="106">
        <v>0</v>
      </c>
      <c r="AJ108" s="106">
        <v>0</v>
      </c>
      <c r="AK108" s="106">
        <v>0</v>
      </c>
      <c r="AL108" s="106">
        <v>0</v>
      </c>
      <c r="AM108" s="108">
        <v>0</v>
      </c>
      <c r="AN108" s="70">
        <f t="shared" si="15"/>
        <v>0</v>
      </c>
      <c r="AO108" s="70">
        <v>20</v>
      </c>
      <c r="AP108" s="107">
        <f t="shared" si="16"/>
        <v>20</v>
      </c>
      <c r="AQ108" s="109">
        <v>20</v>
      </c>
      <c r="AR108" s="70">
        <v>75</v>
      </c>
      <c r="AS108" s="144">
        <f t="shared" si="18"/>
        <v>1500</v>
      </c>
      <c r="AU108">
        <f t="shared" si="17"/>
        <v>95</v>
      </c>
    </row>
    <row r="109" spans="4:72" x14ac:dyDescent="0.25">
      <c r="D109" s="75" t="s">
        <v>38</v>
      </c>
      <c r="E109" s="70">
        <v>7</v>
      </c>
      <c r="F109" s="70">
        <v>10</v>
      </c>
      <c r="G109" s="70">
        <v>10</v>
      </c>
      <c r="I109" s="106">
        <v>0</v>
      </c>
      <c r="J109" s="106">
        <v>0</v>
      </c>
      <c r="K109" s="106">
        <v>0</v>
      </c>
      <c r="L109" s="106">
        <v>0</v>
      </c>
      <c r="M109" s="106">
        <v>0</v>
      </c>
      <c r="N109" s="106">
        <v>0</v>
      </c>
      <c r="O109" s="106">
        <v>0</v>
      </c>
      <c r="P109" s="106">
        <v>0</v>
      </c>
      <c r="Q109" s="106">
        <v>0</v>
      </c>
      <c r="R109" s="106">
        <v>0</v>
      </c>
      <c r="S109" s="106">
        <v>0</v>
      </c>
      <c r="T109" s="106">
        <v>0</v>
      </c>
      <c r="U109" s="106">
        <v>0</v>
      </c>
      <c r="V109" s="106">
        <v>0</v>
      </c>
      <c r="W109" s="106">
        <v>0</v>
      </c>
      <c r="X109" s="106">
        <v>0</v>
      </c>
      <c r="Y109" s="106">
        <v>0</v>
      </c>
      <c r="Z109" s="106">
        <v>0</v>
      </c>
      <c r="AA109" s="106">
        <v>0</v>
      </c>
      <c r="AB109" s="106">
        <v>0</v>
      </c>
      <c r="AC109" s="106">
        <v>0</v>
      </c>
      <c r="AD109" s="106">
        <v>0</v>
      </c>
      <c r="AE109" s="106">
        <v>0</v>
      </c>
      <c r="AF109" s="106">
        <v>0</v>
      </c>
      <c r="AG109" s="106">
        <v>0</v>
      </c>
      <c r="AH109" s="106">
        <v>0</v>
      </c>
      <c r="AI109" s="106">
        <v>0</v>
      </c>
      <c r="AJ109" s="106">
        <v>0</v>
      </c>
      <c r="AK109" s="106">
        <v>0</v>
      </c>
      <c r="AL109" s="106">
        <v>0</v>
      </c>
      <c r="AM109" s="108">
        <v>0</v>
      </c>
      <c r="AN109" s="70">
        <f t="shared" si="15"/>
        <v>0</v>
      </c>
      <c r="AO109" s="70">
        <v>20</v>
      </c>
      <c r="AP109" s="107">
        <f t="shared" si="16"/>
        <v>20</v>
      </c>
      <c r="AQ109" s="109">
        <v>20</v>
      </c>
      <c r="AR109" s="70">
        <v>55</v>
      </c>
      <c r="AS109" s="144">
        <f t="shared" si="18"/>
        <v>1100</v>
      </c>
      <c r="AU109">
        <f t="shared" si="17"/>
        <v>75</v>
      </c>
    </row>
    <row r="110" spans="4:72" x14ac:dyDescent="0.25">
      <c r="D110" s="75" t="s">
        <v>39</v>
      </c>
      <c r="E110" s="70">
        <v>8</v>
      </c>
      <c r="F110" s="70">
        <v>14</v>
      </c>
      <c r="G110" s="70">
        <v>10</v>
      </c>
      <c r="I110" s="106">
        <v>0</v>
      </c>
      <c r="J110" s="106">
        <v>0</v>
      </c>
      <c r="K110" s="106">
        <v>0</v>
      </c>
      <c r="L110" s="106">
        <v>0</v>
      </c>
      <c r="M110" s="106">
        <v>0</v>
      </c>
      <c r="N110" s="106">
        <v>0</v>
      </c>
      <c r="O110" s="106">
        <v>0</v>
      </c>
      <c r="P110" s="106">
        <v>0</v>
      </c>
      <c r="Q110" s="106">
        <v>0</v>
      </c>
      <c r="R110" s="106">
        <v>0</v>
      </c>
      <c r="S110" s="106">
        <v>0</v>
      </c>
      <c r="T110" s="106">
        <v>0</v>
      </c>
      <c r="U110" s="106">
        <v>0</v>
      </c>
      <c r="V110" s="106">
        <v>0</v>
      </c>
      <c r="W110" s="106">
        <v>0</v>
      </c>
      <c r="X110" s="106">
        <v>0</v>
      </c>
      <c r="Y110" s="106">
        <v>0</v>
      </c>
      <c r="Z110" s="106">
        <v>0</v>
      </c>
      <c r="AA110" s="106">
        <v>0</v>
      </c>
      <c r="AB110" s="106">
        <v>0</v>
      </c>
      <c r="AC110" s="106">
        <v>0</v>
      </c>
      <c r="AD110" s="106">
        <v>0</v>
      </c>
      <c r="AE110" s="106">
        <v>0</v>
      </c>
      <c r="AF110" s="106">
        <v>0</v>
      </c>
      <c r="AG110" s="106">
        <v>0</v>
      </c>
      <c r="AH110" s="106">
        <v>0</v>
      </c>
      <c r="AI110" s="106">
        <v>0</v>
      </c>
      <c r="AJ110" s="106">
        <v>0</v>
      </c>
      <c r="AK110" s="106">
        <v>0</v>
      </c>
      <c r="AL110" s="106">
        <v>0</v>
      </c>
      <c r="AM110" s="108">
        <v>0</v>
      </c>
      <c r="AN110" s="70">
        <f t="shared" si="15"/>
        <v>0</v>
      </c>
      <c r="AO110" s="70">
        <v>20</v>
      </c>
      <c r="AP110" s="107">
        <f t="shared" si="16"/>
        <v>20</v>
      </c>
      <c r="AQ110" s="109">
        <v>20</v>
      </c>
      <c r="AR110" s="70">
        <v>78</v>
      </c>
      <c r="AS110" s="144">
        <f t="shared" si="18"/>
        <v>1560</v>
      </c>
      <c r="AU110">
        <f t="shared" si="17"/>
        <v>98</v>
      </c>
    </row>
    <row r="111" spans="4:72" x14ac:dyDescent="0.25">
      <c r="D111" s="75" t="s">
        <v>40</v>
      </c>
      <c r="E111" s="70">
        <v>9</v>
      </c>
      <c r="F111" s="70">
        <v>16</v>
      </c>
      <c r="G111" s="70">
        <v>10</v>
      </c>
      <c r="I111" s="106">
        <v>0</v>
      </c>
      <c r="J111" s="106">
        <v>0</v>
      </c>
      <c r="K111" s="106">
        <v>0</v>
      </c>
      <c r="L111" s="106">
        <v>0</v>
      </c>
      <c r="M111" s="106">
        <v>0</v>
      </c>
      <c r="N111" s="106">
        <v>0</v>
      </c>
      <c r="O111" s="106">
        <v>0</v>
      </c>
      <c r="P111" s="106">
        <v>0</v>
      </c>
      <c r="Q111" s="106">
        <v>0</v>
      </c>
      <c r="R111" s="106">
        <v>0</v>
      </c>
      <c r="S111" s="106">
        <v>0</v>
      </c>
      <c r="T111" s="106">
        <v>0</v>
      </c>
      <c r="U111" s="106">
        <v>0</v>
      </c>
      <c r="V111" s="106">
        <v>0</v>
      </c>
      <c r="W111" s="106">
        <v>0</v>
      </c>
      <c r="X111" s="106">
        <v>0</v>
      </c>
      <c r="Y111" s="106">
        <v>0</v>
      </c>
      <c r="Z111" s="106">
        <v>0</v>
      </c>
      <c r="AA111" s="106">
        <v>0</v>
      </c>
      <c r="AB111" s="106">
        <v>0</v>
      </c>
      <c r="AC111" s="106">
        <v>0</v>
      </c>
      <c r="AD111" s="106">
        <v>0</v>
      </c>
      <c r="AE111" s="106">
        <v>0</v>
      </c>
      <c r="AF111" s="106">
        <v>0</v>
      </c>
      <c r="AG111" s="106">
        <v>0</v>
      </c>
      <c r="AH111" s="106">
        <v>0</v>
      </c>
      <c r="AI111" s="106">
        <v>0</v>
      </c>
      <c r="AJ111" s="106">
        <v>0</v>
      </c>
      <c r="AK111" s="106">
        <v>0</v>
      </c>
      <c r="AL111" s="106">
        <v>0</v>
      </c>
      <c r="AM111" s="108">
        <v>0</v>
      </c>
      <c r="AN111" s="70">
        <f t="shared" si="15"/>
        <v>0</v>
      </c>
      <c r="AO111" s="70">
        <v>20</v>
      </c>
      <c r="AP111" s="107">
        <f t="shared" si="16"/>
        <v>20</v>
      </c>
      <c r="AQ111" s="109">
        <v>20</v>
      </c>
      <c r="AR111" s="70">
        <v>84</v>
      </c>
      <c r="AS111" s="144">
        <f t="shared" si="18"/>
        <v>1680</v>
      </c>
      <c r="AU111">
        <f t="shared" si="17"/>
        <v>104</v>
      </c>
    </row>
    <row r="112" spans="4:72" x14ac:dyDescent="0.25">
      <c r="D112" s="75" t="s">
        <v>41</v>
      </c>
      <c r="E112" s="70">
        <v>10</v>
      </c>
      <c r="F112" s="70">
        <v>20</v>
      </c>
      <c r="G112" s="70">
        <v>10</v>
      </c>
      <c r="I112" s="106">
        <v>0</v>
      </c>
      <c r="J112" s="106">
        <v>0</v>
      </c>
      <c r="K112" s="106">
        <v>0</v>
      </c>
      <c r="L112" s="106">
        <v>0</v>
      </c>
      <c r="M112" s="106">
        <v>0</v>
      </c>
      <c r="N112" s="106">
        <v>0</v>
      </c>
      <c r="O112" s="106">
        <v>0</v>
      </c>
      <c r="P112" s="106">
        <v>0</v>
      </c>
      <c r="Q112" s="106">
        <v>0</v>
      </c>
      <c r="R112" s="106">
        <v>0</v>
      </c>
      <c r="S112" s="106">
        <v>0</v>
      </c>
      <c r="T112" s="106">
        <v>0</v>
      </c>
      <c r="U112" s="106">
        <v>0</v>
      </c>
      <c r="V112" s="106">
        <v>0</v>
      </c>
      <c r="W112" s="106">
        <v>0</v>
      </c>
      <c r="X112" s="106">
        <v>0</v>
      </c>
      <c r="Y112" s="106">
        <v>0</v>
      </c>
      <c r="Z112" s="106">
        <v>0</v>
      </c>
      <c r="AA112" s="106">
        <v>0</v>
      </c>
      <c r="AB112" s="106">
        <v>0</v>
      </c>
      <c r="AC112" s="106">
        <v>0</v>
      </c>
      <c r="AD112" s="106">
        <v>0</v>
      </c>
      <c r="AE112" s="106">
        <v>0</v>
      </c>
      <c r="AF112" s="106">
        <v>0</v>
      </c>
      <c r="AG112" s="106">
        <v>0</v>
      </c>
      <c r="AH112" s="106">
        <v>0</v>
      </c>
      <c r="AI112" s="106">
        <v>0</v>
      </c>
      <c r="AJ112" s="106">
        <v>0</v>
      </c>
      <c r="AK112" s="106">
        <v>0</v>
      </c>
      <c r="AL112" s="106">
        <v>0</v>
      </c>
      <c r="AM112" s="108">
        <v>0</v>
      </c>
      <c r="AN112" s="70">
        <f t="shared" si="15"/>
        <v>0</v>
      </c>
      <c r="AO112" s="70">
        <v>20</v>
      </c>
      <c r="AP112" s="107">
        <f t="shared" si="16"/>
        <v>20</v>
      </c>
      <c r="AQ112" s="109">
        <v>20</v>
      </c>
      <c r="AR112" s="70">
        <v>104</v>
      </c>
      <c r="AS112" s="144">
        <f t="shared" si="18"/>
        <v>2080</v>
      </c>
      <c r="AU112">
        <f t="shared" si="17"/>
        <v>124</v>
      </c>
    </row>
    <row r="113" spans="4:47" x14ac:dyDescent="0.25">
      <c r="D113" s="75" t="s">
        <v>42</v>
      </c>
      <c r="E113" s="70">
        <v>11</v>
      </c>
      <c r="F113" s="70">
        <v>22</v>
      </c>
      <c r="G113" s="70">
        <v>10</v>
      </c>
      <c r="I113" s="106">
        <v>0</v>
      </c>
      <c r="J113" s="106">
        <v>0</v>
      </c>
      <c r="K113" s="106">
        <v>0</v>
      </c>
      <c r="L113" s="106">
        <v>0</v>
      </c>
      <c r="M113" s="106">
        <v>0</v>
      </c>
      <c r="N113" s="106">
        <v>0</v>
      </c>
      <c r="O113" s="106">
        <v>0</v>
      </c>
      <c r="P113" s="106">
        <v>0</v>
      </c>
      <c r="Q113" s="106">
        <v>0</v>
      </c>
      <c r="R113" s="106">
        <v>0</v>
      </c>
      <c r="S113" s="106">
        <v>0</v>
      </c>
      <c r="T113" s="106">
        <v>0</v>
      </c>
      <c r="U113" s="106">
        <v>0</v>
      </c>
      <c r="V113" s="106">
        <v>0</v>
      </c>
      <c r="W113" s="106">
        <v>0</v>
      </c>
      <c r="X113" s="106">
        <v>0</v>
      </c>
      <c r="Y113" s="106">
        <v>0</v>
      </c>
      <c r="Z113" s="106">
        <v>0</v>
      </c>
      <c r="AA113" s="106">
        <v>0</v>
      </c>
      <c r="AB113" s="106">
        <v>0</v>
      </c>
      <c r="AC113" s="106">
        <v>0</v>
      </c>
      <c r="AD113" s="106">
        <v>0</v>
      </c>
      <c r="AE113" s="106">
        <v>0</v>
      </c>
      <c r="AF113" s="106">
        <v>0</v>
      </c>
      <c r="AG113" s="106">
        <v>0</v>
      </c>
      <c r="AH113" s="106">
        <v>0</v>
      </c>
      <c r="AI113" s="106">
        <v>0</v>
      </c>
      <c r="AJ113" s="106">
        <v>0</v>
      </c>
      <c r="AK113" s="106">
        <v>0</v>
      </c>
      <c r="AL113" s="106">
        <v>0</v>
      </c>
      <c r="AM113" s="108">
        <v>0</v>
      </c>
      <c r="AN113" s="70">
        <f t="shared" si="15"/>
        <v>0</v>
      </c>
      <c r="AO113" s="70">
        <v>20</v>
      </c>
      <c r="AP113" s="107">
        <f t="shared" si="16"/>
        <v>20</v>
      </c>
      <c r="AQ113" s="109">
        <v>20</v>
      </c>
      <c r="AR113" s="70">
        <v>62</v>
      </c>
      <c r="AS113" s="144">
        <f t="shared" si="18"/>
        <v>1240</v>
      </c>
      <c r="AU113">
        <f t="shared" si="17"/>
        <v>82</v>
      </c>
    </row>
    <row r="114" spans="4:47" x14ac:dyDescent="0.25">
      <c r="D114" s="75" t="s">
        <v>43</v>
      </c>
      <c r="E114" s="70">
        <v>12</v>
      </c>
      <c r="F114" s="70">
        <v>-22</v>
      </c>
      <c r="G114" s="70">
        <v>20</v>
      </c>
      <c r="I114" s="106">
        <v>0</v>
      </c>
      <c r="J114" s="106">
        <v>0</v>
      </c>
      <c r="K114" s="106">
        <v>0</v>
      </c>
      <c r="L114" s="106">
        <v>0</v>
      </c>
      <c r="M114" s="106">
        <v>0</v>
      </c>
      <c r="N114" s="106">
        <v>0</v>
      </c>
      <c r="O114" s="106">
        <v>0</v>
      </c>
      <c r="P114" s="106">
        <v>0</v>
      </c>
      <c r="Q114" s="106">
        <v>0</v>
      </c>
      <c r="R114" s="106">
        <v>0</v>
      </c>
      <c r="S114" s="106">
        <v>0</v>
      </c>
      <c r="T114" s="106">
        <v>0</v>
      </c>
      <c r="U114" s="106">
        <v>0</v>
      </c>
      <c r="V114" s="106">
        <v>0</v>
      </c>
      <c r="W114" s="106">
        <v>0</v>
      </c>
      <c r="X114" s="106">
        <v>0</v>
      </c>
      <c r="Y114" s="106">
        <v>0</v>
      </c>
      <c r="Z114" s="106">
        <v>0</v>
      </c>
      <c r="AA114" s="106">
        <v>0</v>
      </c>
      <c r="AB114" s="106">
        <v>0</v>
      </c>
      <c r="AC114" s="106">
        <v>0</v>
      </c>
      <c r="AD114" s="106">
        <v>0</v>
      </c>
      <c r="AE114" s="106">
        <v>0</v>
      </c>
      <c r="AF114" s="106">
        <v>0</v>
      </c>
      <c r="AG114" s="106">
        <v>0</v>
      </c>
      <c r="AH114" s="106">
        <v>0</v>
      </c>
      <c r="AI114" s="106">
        <v>0</v>
      </c>
      <c r="AJ114" s="106">
        <v>0</v>
      </c>
      <c r="AK114" s="106">
        <v>0</v>
      </c>
      <c r="AL114" s="106">
        <v>0</v>
      </c>
      <c r="AM114" s="108">
        <v>0</v>
      </c>
      <c r="AN114" s="70">
        <f t="shared" si="15"/>
        <v>0</v>
      </c>
      <c r="AO114" s="70">
        <v>20</v>
      </c>
      <c r="AP114" s="107">
        <f t="shared" si="16"/>
        <v>20</v>
      </c>
      <c r="AQ114" s="109">
        <v>20</v>
      </c>
      <c r="AR114" s="70">
        <v>74</v>
      </c>
      <c r="AS114" s="144">
        <f t="shared" si="18"/>
        <v>1480</v>
      </c>
      <c r="AU114">
        <f t="shared" si="17"/>
        <v>94</v>
      </c>
    </row>
    <row r="115" spans="4:47" x14ac:dyDescent="0.25">
      <c r="D115" s="75" t="s">
        <v>44</v>
      </c>
      <c r="E115" s="70">
        <v>13</v>
      </c>
      <c r="F115" s="70">
        <v>-20</v>
      </c>
      <c r="G115" s="70">
        <v>20</v>
      </c>
      <c r="I115" s="106">
        <v>0</v>
      </c>
      <c r="J115" s="106">
        <v>0</v>
      </c>
      <c r="K115" s="106">
        <v>0</v>
      </c>
      <c r="L115" s="106">
        <v>0</v>
      </c>
      <c r="M115" s="106">
        <v>0</v>
      </c>
      <c r="N115" s="106">
        <v>0</v>
      </c>
      <c r="O115" s="106">
        <v>0</v>
      </c>
      <c r="P115" s="106">
        <v>0</v>
      </c>
      <c r="Q115" s="106">
        <v>0</v>
      </c>
      <c r="R115" s="106">
        <v>0</v>
      </c>
      <c r="S115" s="106">
        <v>0</v>
      </c>
      <c r="T115" s="106">
        <v>0</v>
      </c>
      <c r="U115" s="106">
        <v>0</v>
      </c>
      <c r="V115" s="106">
        <v>0</v>
      </c>
      <c r="W115" s="106">
        <v>0</v>
      </c>
      <c r="X115" s="106">
        <v>0</v>
      </c>
      <c r="Y115" s="106">
        <v>0</v>
      </c>
      <c r="Z115" s="106">
        <v>0</v>
      </c>
      <c r="AA115" s="106">
        <v>0</v>
      </c>
      <c r="AB115" s="106">
        <v>0</v>
      </c>
      <c r="AC115" s="106">
        <v>0</v>
      </c>
      <c r="AD115" s="106">
        <v>0</v>
      </c>
      <c r="AE115" s="106">
        <v>0</v>
      </c>
      <c r="AF115" s="106">
        <v>0</v>
      </c>
      <c r="AG115" s="106">
        <v>0</v>
      </c>
      <c r="AH115" s="106">
        <v>0</v>
      </c>
      <c r="AI115" s="106">
        <v>0</v>
      </c>
      <c r="AJ115" s="106">
        <v>0</v>
      </c>
      <c r="AK115" s="106">
        <v>0</v>
      </c>
      <c r="AL115" s="106">
        <v>0</v>
      </c>
      <c r="AM115" s="108">
        <v>0</v>
      </c>
      <c r="AN115" s="70">
        <f t="shared" si="15"/>
        <v>0</v>
      </c>
      <c r="AO115" s="70">
        <v>20</v>
      </c>
      <c r="AP115" s="107">
        <f t="shared" si="16"/>
        <v>20</v>
      </c>
      <c r="AQ115" s="109">
        <v>20</v>
      </c>
      <c r="AR115" s="70">
        <v>87</v>
      </c>
      <c r="AS115" s="144">
        <f t="shared" si="18"/>
        <v>1740</v>
      </c>
      <c r="AU115">
        <f t="shared" si="17"/>
        <v>107</v>
      </c>
    </row>
    <row r="116" spans="4:47" x14ac:dyDescent="0.25">
      <c r="D116" s="75" t="s">
        <v>45</v>
      </c>
      <c r="E116" s="70">
        <v>14</v>
      </c>
      <c r="F116" s="70">
        <v>-16</v>
      </c>
      <c r="G116" s="70">
        <v>20</v>
      </c>
      <c r="I116" s="106">
        <v>0</v>
      </c>
      <c r="J116" s="106">
        <v>0</v>
      </c>
      <c r="K116" s="106">
        <v>0</v>
      </c>
      <c r="L116" s="106">
        <v>0</v>
      </c>
      <c r="M116" s="106">
        <v>0</v>
      </c>
      <c r="N116" s="106">
        <v>0</v>
      </c>
      <c r="O116" s="106">
        <v>0</v>
      </c>
      <c r="P116" s="106">
        <v>0</v>
      </c>
      <c r="Q116" s="106">
        <v>0</v>
      </c>
      <c r="R116" s="106">
        <v>0</v>
      </c>
      <c r="S116" s="106">
        <v>0</v>
      </c>
      <c r="T116" s="106">
        <v>0</v>
      </c>
      <c r="U116" s="106">
        <v>0</v>
      </c>
      <c r="V116" s="106">
        <v>0</v>
      </c>
      <c r="W116" s="106">
        <v>0</v>
      </c>
      <c r="X116" s="106">
        <v>0</v>
      </c>
      <c r="Y116" s="106">
        <v>0</v>
      </c>
      <c r="Z116" s="106">
        <v>0</v>
      </c>
      <c r="AA116" s="106">
        <v>0</v>
      </c>
      <c r="AB116" s="106">
        <v>0</v>
      </c>
      <c r="AC116" s="106">
        <v>0</v>
      </c>
      <c r="AD116" s="106">
        <v>0</v>
      </c>
      <c r="AE116" s="106">
        <v>0</v>
      </c>
      <c r="AF116" s="106">
        <v>0</v>
      </c>
      <c r="AG116" s="106">
        <v>0</v>
      </c>
      <c r="AH116" s="106">
        <v>0</v>
      </c>
      <c r="AI116" s="106">
        <v>0</v>
      </c>
      <c r="AJ116" s="106">
        <v>0</v>
      </c>
      <c r="AK116" s="106">
        <v>0</v>
      </c>
      <c r="AL116" s="106">
        <v>0</v>
      </c>
      <c r="AM116" s="108">
        <v>0</v>
      </c>
      <c r="AN116" s="70">
        <f t="shared" si="15"/>
        <v>0</v>
      </c>
      <c r="AO116" s="70">
        <v>20</v>
      </c>
      <c r="AP116" s="107">
        <f t="shared" si="16"/>
        <v>20</v>
      </c>
      <c r="AQ116" s="109">
        <v>20</v>
      </c>
      <c r="AR116" s="70">
        <v>70</v>
      </c>
      <c r="AS116" s="144">
        <f t="shared" si="18"/>
        <v>1400</v>
      </c>
      <c r="AU116">
        <f t="shared" si="17"/>
        <v>90</v>
      </c>
    </row>
    <row r="117" spans="4:47" x14ac:dyDescent="0.25">
      <c r="D117" s="75" t="s">
        <v>46</v>
      </c>
      <c r="E117" s="70">
        <v>15</v>
      </c>
      <c r="F117" s="70">
        <v>-14</v>
      </c>
      <c r="G117" s="70">
        <v>20</v>
      </c>
      <c r="I117" s="106">
        <v>0</v>
      </c>
      <c r="J117" s="106">
        <v>0</v>
      </c>
      <c r="K117" s="106">
        <v>0</v>
      </c>
      <c r="L117" s="106">
        <v>0</v>
      </c>
      <c r="M117" s="106">
        <v>0</v>
      </c>
      <c r="N117" s="106">
        <v>0</v>
      </c>
      <c r="O117" s="106">
        <v>0</v>
      </c>
      <c r="P117" s="106">
        <v>0</v>
      </c>
      <c r="Q117" s="106">
        <v>0</v>
      </c>
      <c r="R117" s="106">
        <v>0</v>
      </c>
      <c r="S117" s="106">
        <v>0</v>
      </c>
      <c r="T117" s="106">
        <v>0</v>
      </c>
      <c r="U117" s="106">
        <v>0</v>
      </c>
      <c r="V117" s="106">
        <v>0</v>
      </c>
      <c r="W117" s="106">
        <v>0</v>
      </c>
      <c r="X117" s="106">
        <v>0</v>
      </c>
      <c r="Y117" s="106">
        <v>0</v>
      </c>
      <c r="Z117" s="106">
        <v>0</v>
      </c>
      <c r="AA117" s="106">
        <v>0</v>
      </c>
      <c r="AB117" s="106">
        <v>0</v>
      </c>
      <c r="AC117" s="106">
        <v>0</v>
      </c>
      <c r="AD117" s="106">
        <v>0</v>
      </c>
      <c r="AE117" s="106">
        <v>0</v>
      </c>
      <c r="AF117" s="106">
        <v>0</v>
      </c>
      <c r="AG117" s="106">
        <v>0</v>
      </c>
      <c r="AH117" s="106">
        <v>0</v>
      </c>
      <c r="AI117" s="106">
        <v>0</v>
      </c>
      <c r="AJ117" s="106">
        <v>0</v>
      </c>
      <c r="AK117" s="106">
        <v>0</v>
      </c>
      <c r="AL117" s="106">
        <v>0</v>
      </c>
      <c r="AM117" s="108">
        <v>0</v>
      </c>
      <c r="AN117" s="70">
        <f t="shared" si="15"/>
        <v>0</v>
      </c>
      <c r="AO117" s="70">
        <v>20</v>
      </c>
      <c r="AP117" s="107">
        <f t="shared" si="16"/>
        <v>20</v>
      </c>
      <c r="AQ117" s="109">
        <v>20</v>
      </c>
      <c r="AR117" s="70">
        <v>75</v>
      </c>
      <c r="AS117" s="144">
        <f t="shared" si="18"/>
        <v>1500</v>
      </c>
      <c r="AU117">
        <f t="shared" si="17"/>
        <v>95</v>
      </c>
    </row>
    <row r="118" spans="4:47" x14ac:dyDescent="0.25">
      <c r="D118" s="75" t="s">
        <v>47</v>
      </c>
      <c r="E118" s="70">
        <v>16</v>
      </c>
      <c r="F118" s="70">
        <v>-10</v>
      </c>
      <c r="G118" s="70">
        <v>20</v>
      </c>
      <c r="I118" s="106">
        <v>0</v>
      </c>
      <c r="J118" s="106">
        <v>0</v>
      </c>
      <c r="K118" s="106">
        <v>0</v>
      </c>
      <c r="L118" s="106">
        <v>0</v>
      </c>
      <c r="M118" s="106">
        <v>0</v>
      </c>
      <c r="N118" s="106">
        <v>0</v>
      </c>
      <c r="O118" s="106">
        <v>0</v>
      </c>
      <c r="P118" s="106">
        <v>0</v>
      </c>
      <c r="Q118" s="106">
        <v>0</v>
      </c>
      <c r="R118" s="106">
        <v>0</v>
      </c>
      <c r="S118" s="106">
        <v>0</v>
      </c>
      <c r="T118" s="106">
        <v>0</v>
      </c>
      <c r="U118" s="106">
        <v>0</v>
      </c>
      <c r="V118" s="106">
        <v>0</v>
      </c>
      <c r="W118" s="106">
        <v>0</v>
      </c>
      <c r="X118" s="106">
        <v>0</v>
      </c>
      <c r="Y118" s="106">
        <v>0</v>
      </c>
      <c r="Z118" s="106">
        <v>0</v>
      </c>
      <c r="AA118" s="106">
        <v>0</v>
      </c>
      <c r="AB118" s="106">
        <v>0</v>
      </c>
      <c r="AC118" s="106">
        <v>0</v>
      </c>
      <c r="AD118" s="106">
        <v>0</v>
      </c>
      <c r="AE118" s="106">
        <v>0</v>
      </c>
      <c r="AF118" s="106">
        <v>0</v>
      </c>
      <c r="AG118" s="106">
        <v>0</v>
      </c>
      <c r="AH118" s="106">
        <v>0</v>
      </c>
      <c r="AI118" s="106">
        <v>0</v>
      </c>
      <c r="AJ118" s="106">
        <v>0</v>
      </c>
      <c r="AK118" s="106">
        <v>0</v>
      </c>
      <c r="AL118" s="106">
        <v>0</v>
      </c>
      <c r="AM118" s="108">
        <v>0</v>
      </c>
      <c r="AN118" s="70">
        <f t="shared" si="15"/>
        <v>0</v>
      </c>
      <c r="AO118" s="70">
        <v>20</v>
      </c>
      <c r="AP118" s="107">
        <f t="shared" si="16"/>
        <v>20</v>
      </c>
      <c r="AQ118" s="109">
        <v>20</v>
      </c>
      <c r="AR118" s="70">
        <v>110</v>
      </c>
      <c r="AS118" s="144">
        <f t="shared" si="18"/>
        <v>2200</v>
      </c>
      <c r="AU118">
        <f t="shared" si="17"/>
        <v>130</v>
      </c>
    </row>
    <row r="119" spans="4:47" x14ac:dyDescent="0.25">
      <c r="D119" s="75" t="s">
        <v>48</v>
      </c>
      <c r="E119" s="70">
        <v>17</v>
      </c>
      <c r="F119" s="70">
        <v>10</v>
      </c>
      <c r="G119" s="70">
        <v>20</v>
      </c>
      <c r="I119" s="106">
        <v>0</v>
      </c>
      <c r="J119" s="106">
        <v>0</v>
      </c>
      <c r="K119" s="106">
        <v>0</v>
      </c>
      <c r="L119" s="106">
        <v>0</v>
      </c>
      <c r="M119" s="106">
        <v>0</v>
      </c>
      <c r="N119" s="106">
        <v>0</v>
      </c>
      <c r="O119" s="106">
        <v>0</v>
      </c>
      <c r="P119" s="106">
        <v>0</v>
      </c>
      <c r="Q119" s="106">
        <v>0</v>
      </c>
      <c r="R119" s="106">
        <v>0</v>
      </c>
      <c r="S119" s="106">
        <v>0</v>
      </c>
      <c r="T119" s="106">
        <v>0</v>
      </c>
      <c r="U119" s="106">
        <v>0</v>
      </c>
      <c r="V119" s="106">
        <v>0</v>
      </c>
      <c r="W119" s="106">
        <v>0</v>
      </c>
      <c r="X119" s="106">
        <v>0</v>
      </c>
      <c r="Y119" s="106">
        <v>0</v>
      </c>
      <c r="Z119" s="106">
        <v>0</v>
      </c>
      <c r="AA119" s="106">
        <v>0</v>
      </c>
      <c r="AB119" s="106">
        <v>0</v>
      </c>
      <c r="AC119" s="106">
        <v>0</v>
      </c>
      <c r="AD119" s="106">
        <v>0</v>
      </c>
      <c r="AE119" s="106">
        <v>0</v>
      </c>
      <c r="AF119" s="106">
        <v>0</v>
      </c>
      <c r="AG119" s="106">
        <v>0</v>
      </c>
      <c r="AH119" s="106">
        <v>0</v>
      </c>
      <c r="AI119" s="106">
        <v>0</v>
      </c>
      <c r="AJ119" s="106">
        <v>0</v>
      </c>
      <c r="AK119" s="106">
        <v>0</v>
      </c>
      <c r="AL119" s="106">
        <v>0</v>
      </c>
      <c r="AM119" s="108">
        <v>0</v>
      </c>
      <c r="AN119" s="70">
        <f t="shared" si="15"/>
        <v>0</v>
      </c>
      <c r="AO119" s="70">
        <v>20</v>
      </c>
      <c r="AP119" s="107">
        <f t="shared" si="16"/>
        <v>20</v>
      </c>
      <c r="AQ119" s="109">
        <v>20</v>
      </c>
      <c r="AR119" s="70">
        <v>93</v>
      </c>
      <c r="AS119" s="144">
        <f t="shared" si="18"/>
        <v>1860</v>
      </c>
      <c r="AU119">
        <f t="shared" si="17"/>
        <v>113</v>
      </c>
    </row>
    <row r="120" spans="4:47" x14ac:dyDescent="0.25">
      <c r="D120" s="75" t="s">
        <v>49</v>
      </c>
      <c r="E120" s="70">
        <v>18</v>
      </c>
      <c r="F120" s="70">
        <v>14</v>
      </c>
      <c r="G120" s="70">
        <v>20</v>
      </c>
      <c r="I120" s="106">
        <v>0</v>
      </c>
      <c r="J120" s="106">
        <v>0</v>
      </c>
      <c r="K120" s="106">
        <v>0</v>
      </c>
      <c r="L120" s="106">
        <v>0</v>
      </c>
      <c r="M120" s="106">
        <v>0</v>
      </c>
      <c r="N120" s="106">
        <v>0</v>
      </c>
      <c r="O120" s="106">
        <v>0</v>
      </c>
      <c r="P120" s="106">
        <v>0</v>
      </c>
      <c r="Q120" s="106">
        <v>0</v>
      </c>
      <c r="R120" s="106">
        <v>0</v>
      </c>
      <c r="S120" s="106">
        <v>0</v>
      </c>
      <c r="T120" s="106">
        <v>0</v>
      </c>
      <c r="U120" s="106">
        <v>0</v>
      </c>
      <c r="V120" s="106">
        <v>0</v>
      </c>
      <c r="W120" s="106">
        <v>0</v>
      </c>
      <c r="X120" s="106">
        <v>0</v>
      </c>
      <c r="Y120" s="106">
        <v>0</v>
      </c>
      <c r="Z120" s="106">
        <v>0</v>
      </c>
      <c r="AA120" s="106">
        <v>0</v>
      </c>
      <c r="AB120" s="106">
        <v>0</v>
      </c>
      <c r="AC120" s="106">
        <v>0</v>
      </c>
      <c r="AD120" s="106">
        <v>0</v>
      </c>
      <c r="AE120" s="106">
        <v>0</v>
      </c>
      <c r="AF120" s="106">
        <v>0</v>
      </c>
      <c r="AG120" s="106">
        <v>0</v>
      </c>
      <c r="AH120" s="106">
        <v>0</v>
      </c>
      <c r="AI120" s="106">
        <v>0</v>
      </c>
      <c r="AJ120" s="106">
        <v>0</v>
      </c>
      <c r="AK120" s="106">
        <v>0</v>
      </c>
      <c r="AL120" s="106">
        <v>0</v>
      </c>
      <c r="AM120" s="108">
        <v>0</v>
      </c>
      <c r="AN120" s="70">
        <f t="shared" si="15"/>
        <v>0</v>
      </c>
      <c r="AO120" s="70">
        <v>20</v>
      </c>
      <c r="AP120" s="107">
        <f t="shared" si="16"/>
        <v>20</v>
      </c>
      <c r="AQ120" s="109">
        <v>20</v>
      </c>
      <c r="AR120" s="70">
        <v>77</v>
      </c>
      <c r="AS120" s="144">
        <f t="shared" si="18"/>
        <v>1540</v>
      </c>
      <c r="AU120">
        <f t="shared" si="17"/>
        <v>97</v>
      </c>
    </row>
    <row r="121" spans="4:47" x14ac:dyDescent="0.25">
      <c r="D121" s="75" t="s">
        <v>50</v>
      </c>
      <c r="E121" s="70">
        <v>19</v>
      </c>
      <c r="F121" s="70">
        <v>16</v>
      </c>
      <c r="G121" s="70">
        <v>20</v>
      </c>
      <c r="I121" s="106">
        <v>0</v>
      </c>
      <c r="J121" s="106">
        <v>0</v>
      </c>
      <c r="K121" s="106">
        <v>0</v>
      </c>
      <c r="L121" s="106">
        <v>0</v>
      </c>
      <c r="M121" s="106">
        <v>0</v>
      </c>
      <c r="N121" s="106">
        <v>0</v>
      </c>
      <c r="O121" s="106">
        <v>0</v>
      </c>
      <c r="P121" s="106">
        <v>0</v>
      </c>
      <c r="Q121" s="106">
        <v>0</v>
      </c>
      <c r="R121" s="106">
        <v>0</v>
      </c>
      <c r="S121" s="106">
        <v>0</v>
      </c>
      <c r="T121" s="106">
        <v>0</v>
      </c>
      <c r="U121" s="106">
        <v>0</v>
      </c>
      <c r="V121" s="106">
        <v>0</v>
      </c>
      <c r="W121" s="106">
        <v>0</v>
      </c>
      <c r="X121" s="106">
        <v>0</v>
      </c>
      <c r="Y121" s="106">
        <v>0</v>
      </c>
      <c r="Z121" s="106">
        <v>0</v>
      </c>
      <c r="AA121" s="106">
        <v>0</v>
      </c>
      <c r="AB121" s="106">
        <v>0</v>
      </c>
      <c r="AC121" s="106">
        <v>0</v>
      </c>
      <c r="AD121" s="106">
        <v>0</v>
      </c>
      <c r="AE121" s="106">
        <v>0</v>
      </c>
      <c r="AF121" s="106">
        <v>0</v>
      </c>
      <c r="AG121" s="106">
        <v>0</v>
      </c>
      <c r="AH121" s="106">
        <v>0</v>
      </c>
      <c r="AI121" s="106">
        <v>0</v>
      </c>
      <c r="AJ121" s="106">
        <v>0</v>
      </c>
      <c r="AK121" s="106">
        <v>0</v>
      </c>
      <c r="AL121" s="106">
        <v>0</v>
      </c>
      <c r="AM121" s="108">
        <v>0</v>
      </c>
      <c r="AN121" s="70">
        <f t="shared" si="15"/>
        <v>0</v>
      </c>
      <c r="AO121" s="70">
        <v>20</v>
      </c>
      <c r="AP121" s="107">
        <f t="shared" si="16"/>
        <v>20</v>
      </c>
      <c r="AQ121" s="109">
        <v>20</v>
      </c>
      <c r="AR121" s="70">
        <v>55</v>
      </c>
      <c r="AS121" s="144">
        <f t="shared" si="18"/>
        <v>1100</v>
      </c>
      <c r="AU121">
        <f t="shared" si="17"/>
        <v>75</v>
      </c>
    </row>
    <row r="122" spans="4:47" x14ac:dyDescent="0.25">
      <c r="D122" s="75" t="s">
        <v>51</v>
      </c>
      <c r="E122" s="70">
        <v>20</v>
      </c>
      <c r="F122" s="70">
        <v>20</v>
      </c>
      <c r="G122" s="70">
        <v>20</v>
      </c>
      <c r="I122" s="106">
        <v>0</v>
      </c>
      <c r="J122" s="106">
        <v>0</v>
      </c>
      <c r="K122" s="106">
        <v>0</v>
      </c>
      <c r="L122" s="106">
        <v>0</v>
      </c>
      <c r="M122" s="106">
        <v>0</v>
      </c>
      <c r="N122" s="106">
        <v>0</v>
      </c>
      <c r="O122" s="106">
        <v>0</v>
      </c>
      <c r="P122" s="106">
        <v>0</v>
      </c>
      <c r="Q122" s="106">
        <v>0</v>
      </c>
      <c r="R122" s="106">
        <v>0</v>
      </c>
      <c r="S122" s="106">
        <v>0</v>
      </c>
      <c r="T122" s="106">
        <v>0</v>
      </c>
      <c r="U122" s="106">
        <v>0</v>
      </c>
      <c r="V122" s="106">
        <v>0</v>
      </c>
      <c r="W122" s="106">
        <v>0</v>
      </c>
      <c r="X122" s="106">
        <v>0</v>
      </c>
      <c r="Y122" s="106">
        <v>0</v>
      </c>
      <c r="Z122" s="106">
        <v>0</v>
      </c>
      <c r="AA122" s="106">
        <v>0</v>
      </c>
      <c r="AB122" s="106">
        <v>0</v>
      </c>
      <c r="AC122" s="106">
        <v>0</v>
      </c>
      <c r="AD122" s="106">
        <v>0</v>
      </c>
      <c r="AE122" s="106">
        <v>0</v>
      </c>
      <c r="AF122" s="106">
        <v>0</v>
      </c>
      <c r="AG122" s="106">
        <v>0</v>
      </c>
      <c r="AH122" s="106">
        <v>0</v>
      </c>
      <c r="AI122" s="106">
        <v>0</v>
      </c>
      <c r="AJ122" s="106">
        <v>0</v>
      </c>
      <c r="AK122" s="106">
        <v>0</v>
      </c>
      <c r="AL122" s="106">
        <v>0</v>
      </c>
      <c r="AM122" s="108">
        <v>0</v>
      </c>
      <c r="AN122" s="70">
        <f t="shared" si="15"/>
        <v>0</v>
      </c>
      <c r="AO122" s="70">
        <v>20</v>
      </c>
      <c r="AP122" s="107">
        <f t="shared" si="16"/>
        <v>20</v>
      </c>
      <c r="AQ122" s="109">
        <v>20</v>
      </c>
      <c r="AR122" s="70">
        <v>59</v>
      </c>
      <c r="AS122" s="144">
        <f t="shared" si="18"/>
        <v>1180</v>
      </c>
      <c r="AU122">
        <f t="shared" si="17"/>
        <v>79</v>
      </c>
    </row>
    <row r="123" spans="4:47" x14ac:dyDescent="0.25">
      <c r="D123" s="75" t="s">
        <v>52</v>
      </c>
      <c r="E123" s="70">
        <v>21</v>
      </c>
      <c r="F123" s="70">
        <v>22</v>
      </c>
      <c r="G123" s="70">
        <v>20</v>
      </c>
      <c r="I123" s="106">
        <v>0</v>
      </c>
      <c r="J123" s="106">
        <v>0</v>
      </c>
      <c r="K123" s="106">
        <v>0</v>
      </c>
      <c r="L123" s="106">
        <v>0</v>
      </c>
      <c r="M123" s="106">
        <v>0</v>
      </c>
      <c r="N123" s="106">
        <v>0</v>
      </c>
      <c r="O123" s="106">
        <v>0</v>
      </c>
      <c r="P123" s="106">
        <v>0</v>
      </c>
      <c r="Q123" s="106">
        <v>0</v>
      </c>
      <c r="R123" s="106">
        <v>0</v>
      </c>
      <c r="S123" s="106">
        <v>0</v>
      </c>
      <c r="T123" s="106">
        <v>0</v>
      </c>
      <c r="U123" s="106">
        <v>0</v>
      </c>
      <c r="V123" s="106">
        <v>0</v>
      </c>
      <c r="W123" s="106">
        <v>0</v>
      </c>
      <c r="X123" s="106">
        <v>0</v>
      </c>
      <c r="Y123" s="106">
        <v>0</v>
      </c>
      <c r="Z123" s="106">
        <v>0</v>
      </c>
      <c r="AA123" s="106">
        <v>0</v>
      </c>
      <c r="AB123" s="106">
        <v>0</v>
      </c>
      <c r="AC123" s="106">
        <v>0</v>
      </c>
      <c r="AD123" s="106">
        <v>0</v>
      </c>
      <c r="AE123" s="106">
        <v>0</v>
      </c>
      <c r="AF123" s="106">
        <v>0</v>
      </c>
      <c r="AG123" s="106">
        <v>0</v>
      </c>
      <c r="AH123" s="106">
        <v>0</v>
      </c>
      <c r="AI123" s="106">
        <v>0</v>
      </c>
      <c r="AJ123" s="106">
        <v>0</v>
      </c>
      <c r="AK123" s="106">
        <v>0</v>
      </c>
      <c r="AL123" s="106">
        <v>0</v>
      </c>
      <c r="AM123" s="108">
        <v>0</v>
      </c>
      <c r="AN123" s="70">
        <f t="shared" si="15"/>
        <v>0</v>
      </c>
      <c r="AO123" s="70">
        <v>20</v>
      </c>
      <c r="AP123" s="107">
        <f t="shared" si="16"/>
        <v>20</v>
      </c>
      <c r="AQ123" s="109">
        <v>20</v>
      </c>
      <c r="AR123" s="70">
        <v>106</v>
      </c>
      <c r="AS123" s="144">
        <f t="shared" si="18"/>
        <v>2120</v>
      </c>
      <c r="AU123">
        <f t="shared" si="17"/>
        <v>126</v>
      </c>
    </row>
    <row r="124" spans="4:47" x14ac:dyDescent="0.25">
      <c r="D124" s="75" t="s">
        <v>53</v>
      </c>
      <c r="E124" s="70">
        <v>22</v>
      </c>
      <c r="F124" s="70">
        <v>-22</v>
      </c>
      <c r="G124" s="70">
        <v>30</v>
      </c>
      <c r="I124" s="106">
        <v>0</v>
      </c>
      <c r="J124" s="106">
        <v>0</v>
      </c>
      <c r="K124" s="106">
        <v>0</v>
      </c>
      <c r="L124" s="106">
        <v>0</v>
      </c>
      <c r="M124" s="106">
        <v>0</v>
      </c>
      <c r="N124" s="106">
        <v>0</v>
      </c>
      <c r="O124" s="106">
        <v>0</v>
      </c>
      <c r="P124" s="106">
        <v>0</v>
      </c>
      <c r="Q124" s="106">
        <v>0</v>
      </c>
      <c r="R124" s="106">
        <v>0</v>
      </c>
      <c r="S124" s="106">
        <v>0</v>
      </c>
      <c r="T124" s="106">
        <v>0</v>
      </c>
      <c r="U124" s="106">
        <v>0</v>
      </c>
      <c r="V124" s="106">
        <v>0</v>
      </c>
      <c r="W124" s="106">
        <v>0</v>
      </c>
      <c r="X124" s="106">
        <v>0</v>
      </c>
      <c r="Y124" s="106">
        <v>0</v>
      </c>
      <c r="Z124" s="106">
        <v>0</v>
      </c>
      <c r="AA124" s="106">
        <v>0</v>
      </c>
      <c r="AB124" s="106">
        <v>0</v>
      </c>
      <c r="AC124" s="106">
        <v>0</v>
      </c>
      <c r="AD124" s="106">
        <v>0</v>
      </c>
      <c r="AE124" s="106">
        <v>0</v>
      </c>
      <c r="AF124" s="106">
        <v>0</v>
      </c>
      <c r="AG124" s="106">
        <v>0</v>
      </c>
      <c r="AH124" s="106">
        <v>0</v>
      </c>
      <c r="AI124" s="106">
        <v>0</v>
      </c>
      <c r="AJ124" s="106">
        <v>0</v>
      </c>
      <c r="AK124" s="106">
        <v>0</v>
      </c>
      <c r="AL124" s="106">
        <v>0</v>
      </c>
      <c r="AM124" s="108">
        <v>0</v>
      </c>
      <c r="AN124" s="70">
        <f t="shared" si="15"/>
        <v>0</v>
      </c>
      <c r="AO124" s="70">
        <v>20</v>
      </c>
      <c r="AP124" s="107">
        <f t="shared" si="16"/>
        <v>20</v>
      </c>
      <c r="AQ124" s="109">
        <v>20</v>
      </c>
      <c r="AR124" s="70">
        <v>103</v>
      </c>
      <c r="AS124" s="144">
        <f t="shared" si="18"/>
        <v>2060</v>
      </c>
      <c r="AU124">
        <f t="shared" si="17"/>
        <v>123</v>
      </c>
    </row>
    <row r="125" spans="4:47" x14ac:dyDescent="0.25">
      <c r="D125" s="75" t="s">
        <v>54</v>
      </c>
      <c r="E125" s="70">
        <v>23</v>
      </c>
      <c r="F125" s="70">
        <v>-20</v>
      </c>
      <c r="G125" s="70">
        <v>30</v>
      </c>
      <c r="I125" s="106">
        <v>0</v>
      </c>
      <c r="J125" s="106">
        <v>0</v>
      </c>
      <c r="K125" s="106">
        <v>0</v>
      </c>
      <c r="L125" s="106">
        <v>0</v>
      </c>
      <c r="M125" s="106">
        <v>0</v>
      </c>
      <c r="N125" s="106">
        <v>0</v>
      </c>
      <c r="O125" s="106">
        <v>0</v>
      </c>
      <c r="P125" s="106">
        <v>0</v>
      </c>
      <c r="Q125" s="106">
        <v>0</v>
      </c>
      <c r="R125" s="106">
        <v>0</v>
      </c>
      <c r="S125" s="106">
        <v>0</v>
      </c>
      <c r="T125" s="106">
        <v>0</v>
      </c>
      <c r="U125" s="106">
        <v>0</v>
      </c>
      <c r="V125" s="106">
        <v>0</v>
      </c>
      <c r="W125" s="106">
        <v>0</v>
      </c>
      <c r="X125" s="106">
        <v>0</v>
      </c>
      <c r="Y125" s="106">
        <v>0</v>
      </c>
      <c r="Z125" s="106">
        <v>0</v>
      </c>
      <c r="AA125" s="106">
        <v>0</v>
      </c>
      <c r="AB125" s="106">
        <v>0</v>
      </c>
      <c r="AC125" s="106">
        <v>0</v>
      </c>
      <c r="AD125" s="106">
        <v>0</v>
      </c>
      <c r="AE125" s="106">
        <v>0</v>
      </c>
      <c r="AF125" s="106">
        <v>0</v>
      </c>
      <c r="AG125" s="106">
        <v>0</v>
      </c>
      <c r="AH125" s="106">
        <v>0</v>
      </c>
      <c r="AI125" s="106">
        <v>0</v>
      </c>
      <c r="AJ125" s="106">
        <v>0</v>
      </c>
      <c r="AK125" s="106">
        <v>0</v>
      </c>
      <c r="AL125" s="106">
        <v>0</v>
      </c>
      <c r="AM125" s="108">
        <v>0</v>
      </c>
      <c r="AN125" s="70">
        <f t="shared" si="15"/>
        <v>0</v>
      </c>
      <c r="AO125" s="70">
        <v>20</v>
      </c>
      <c r="AP125" s="107">
        <f t="shared" si="16"/>
        <v>20</v>
      </c>
      <c r="AQ125" s="109">
        <v>20</v>
      </c>
      <c r="AR125" s="70">
        <v>85</v>
      </c>
      <c r="AS125" s="144">
        <f t="shared" si="18"/>
        <v>1700</v>
      </c>
      <c r="AU125">
        <f t="shared" si="17"/>
        <v>105</v>
      </c>
    </row>
    <row r="126" spans="4:47" x14ac:dyDescent="0.25">
      <c r="D126" s="75" t="s">
        <v>55</v>
      </c>
      <c r="E126" s="70">
        <v>24</v>
      </c>
      <c r="F126" s="70">
        <v>-16</v>
      </c>
      <c r="G126" s="70">
        <v>30</v>
      </c>
      <c r="I126" s="106">
        <v>0</v>
      </c>
      <c r="J126" s="106">
        <v>0</v>
      </c>
      <c r="K126" s="106">
        <v>0</v>
      </c>
      <c r="L126" s="106">
        <v>0</v>
      </c>
      <c r="M126" s="106">
        <v>0</v>
      </c>
      <c r="N126" s="106">
        <v>0</v>
      </c>
      <c r="O126" s="106">
        <v>0</v>
      </c>
      <c r="P126" s="106">
        <v>0</v>
      </c>
      <c r="Q126" s="106">
        <v>0</v>
      </c>
      <c r="R126" s="106">
        <v>0</v>
      </c>
      <c r="S126" s="106">
        <v>0</v>
      </c>
      <c r="T126" s="106">
        <v>0</v>
      </c>
      <c r="U126" s="106">
        <v>0</v>
      </c>
      <c r="V126" s="106">
        <v>0</v>
      </c>
      <c r="W126" s="106">
        <v>0</v>
      </c>
      <c r="X126" s="106">
        <v>0</v>
      </c>
      <c r="Y126" s="106">
        <v>0</v>
      </c>
      <c r="Z126" s="106">
        <v>0</v>
      </c>
      <c r="AA126" s="106">
        <v>0</v>
      </c>
      <c r="AB126" s="106">
        <v>0</v>
      </c>
      <c r="AC126" s="106">
        <v>0</v>
      </c>
      <c r="AD126" s="106">
        <v>0</v>
      </c>
      <c r="AE126" s="106">
        <v>0</v>
      </c>
      <c r="AF126" s="106">
        <v>0</v>
      </c>
      <c r="AG126" s="106">
        <v>0</v>
      </c>
      <c r="AH126" s="106">
        <v>0</v>
      </c>
      <c r="AI126" s="106">
        <v>0</v>
      </c>
      <c r="AJ126" s="106">
        <v>0</v>
      </c>
      <c r="AK126" s="106">
        <v>0</v>
      </c>
      <c r="AL126" s="106">
        <v>0</v>
      </c>
      <c r="AM126" s="108">
        <v>0</v>
      </c>
      <c r="AN126" s="70">
        <f t="shared" si="15"/>
        <v>0</v>
      </c>
      <c r="AO126" s="70">
        <v>20</v>
      </c>
      <c r="AP126" s="107">
        <f t="shared" si="16"/>
        <v>20</v>
      </c>
      <c r="AQ126" s="109">
        <v>20</v>
      </c>
      <c r="AR126" s="70">
        <v>71</v>
      </c>
      <c r="AS126" s="144">
        <f t="shared" si="18"/>
        <v>1420</v>
      </c>
      <c r="AU126">
        <f t="shared" si="17"/>
        <v>91</v>
      </c>
    </row>
    <row r="127" spans="4:47" x14ac:dyDescent="0.25">
      <c r="D127" s="75" t="s">
        <v>56</v>
      </c>
      <c r="E127" s="70">
        <v>25</v>
      </c>
      <c r="F127" s="70">
        <v>-14</v>
      </c>
      <c r="G127" s="70">
        <v>30</v>
      </c>
      <c r="I127" s="106">
        <v>0</v>
      </c>
      <c r="J127" s="106">
        <v>0</v>
      </c>
      <c r="K127" s="106">
        <v>0</v>
      </c>
      <c r="L127" s="106">
        <v>0</v>
      </c>
      <c r="M127" s="106">
        <v>0</v>
      </c>
      <c r="N127" s="106">
        <v>0</v>
      </c>
      <c r="O127" s="106">
        <v>0</v>
      </c>
      <c r="P127" s="106">
        <v>0</v>
      </c>
      <c r="Q127" s="106">
        <v>0</v>
      </c>
      <c r="R127" s="106">
        <v>0</v>
      </c>
      <c r="S127" s="106">
        <v>0</v>
      </c>
      <c r="T127" s="106">
        <v>0</v>
      </c>
      <c r="U127" s="106">
        <v>0</v>
      </c>
      <c r="V127" s="106">
        <v>0</v>
      </c>
      <c r="W127" s="106">
        <v>0</v>
      </c>
      <c r="X127" s="106">
        <v>0</v>
      </c>
      <c r="Y127" s="106">
        <v>0</v>
      </c>
      <c r="Z127" s="106">
        <v>0</v>
      </c>
      <c r="AA127" s="106">
        <v>0</v>
      </c>
      <c r="AB127" s="106">
        <v>0</v>
      </c>
      <c r="AC127" s="106">
        <v>0</v>
      </c>
      <c r="AD127" s="106">
        <v>0</v>
      </c>
      <c r="AE127" s="106">
        <v>0</v>
      </c>
      <c r="AF127" s="106">
        <v>0</v>
      </c>
      <c r="AG127" s="106">
        <v>0</v>
      </c>
      <c r="AH127" s="106">
        <v>0</v>
      </c>
      <c r="AI127" s="106">
        <v>0</v>
      </c>
      <c r="AJ127" s="106">
        <v>0</v>
      </c>
      <c r="AK127" s="106">
        <v>0</v>
      </c>
      <c r="AL127" s="106">
        <v>0</v>
      </c>
      <c r="AM127" s="108">
        <v>0</v>
      </c>
      <c r="AN127" s="70">
        <f t="shared" si="15"/>
        <v>0</v>
      </c>
      <c r="AO127" s="70">
        <v>20</v>
      </c>
      <c r="AP127" s="107">
        <f t="shared" si="16"/>
        <v>20</v>
      </c>
      <c r="AQ127" s="109">
        <v>20</v>
      </c>
      <c r="AR127" s="70">
        <v>80</v>
      </c>
      <c r="AS127" s="144">
        <f t="shared" si="18"/>
        <v>1600</v>
      </c>
      <c r="AU127">
        <f t="shared" si="17"/>
        <v>100</v>
      </c>
    </row>
    <row r="128" spans="4:47" x14ac:dyDescent="0.25">
      <c r="D128" s="75" t="s">
        <v>57</v>
      </c>
      <c r="E128" s="70">
        <v>26</v>
      </c>
      <c r="F128" s="70">
        <v>-10</v>
      </c>
      <c r="G128" s="70">
        <v>30</v>
      </c>
      <c r="I128" s="106">
        <v>0</v>
      </c>
      <c r="J128" s="106">
        <v>0</v>
      </c>
      <c r="K128" s="106">
        <v>0</v>
      </c>
      <c r="L128" s="106">
        <v>0</v>
      </c>
      <c r="M128" s="106">
        <v>0</v>
      </c>
      <c r="N128" s="106">
        <v>0</v>
      </c>
      <c r="O128" s="106">
        <v>0</v>
      </c>
      <c r="P128" s="106">
        <v>0</v>
      </c>
      <c r="Q128" s="106">
        <v>0</v>
      </c>
      <c r="R128" s="106">
        <v>0</v>
      </c>
      <c r="S128" s="106">
        <v>0</v>
      </c>
      <c r="T128" s="106">
        <v>0</v>
      </c>
      <c r="U128" s="106">
        <v>0</v>
      </c>
      <c r="V128" s="106">
        <v>0</v>
      </c>
      <c r="W128" s="106">
        <v>0</v>
      </c>
      <c r="X128" s="106">
        <v>0</v>
      </c>
      <c r="Y128" s="106">
        <v>0</v>
      </c>
      <c r="Z128" s="106">
        <v>0</v>
      </c>
      <c r="AA128" s="106">
        <v>0</v>
      </c>
      <c r="AB128" s="106">
        <v>0</v>
      </c>
      <c r="AC128" s="106">
        <v>0</v>
      </c>
      <c r="AD128" s="106">
        <v>0</v>
      </c>
      <c r="AE128" s="106">
        <v>0</v>
      </c>
      <c r="AF128" s="106">
        <v>0</v>
      </c>
      <c r="AG128" s="106">
        <v>0</v>
      </c>
      <c r="AH128" s="106">
        <v>0</v>
      </c>
      <c r="AI128" s="106">
        <v>0</v>
      </c>
      <c r="AJ128" s="106">
        <v>0</v>
      </c>
      <c r="AK128" s="106">
        <v>0</v>
      </c>
      <c r="AL128" s="106">
        <v>0</v>
      </c>
      <c r="AM128" s="108">
        <v>0</v>
      </c>
      <c r="AN128" s="70">
        <f t="shared" si="15"/>
        <v>0</v>
      </c>
      <c r="AO128" s="70">
        <v>20</v>
      </c>
      <c r="AP128" s="107">
        <f t="shared" si="16"/>
        <v>20</v>
      </c>
      <c r="AQ128" s="109">
        <v>20</v>
      </c>
      <c r="AR128" s="70">
        <v>94</v>
      </c>
      <c r="AS128" s="144">
        <f t="shared" si="18"/>
        <v>1880</v>
      </c>
      <c r="AU128">
        <f t="shared" si="17"/>
        <v>114</v>
      </c>
    </row>
    <row r="129" spans="4:47" x14ac:dyDescent="0.25">
      <c r="D129" s="75" t="s">
        <v>58</v>
      </c>
      <c r="E129" s="70">
        <v>27</v>
      </c>
      <c r="F129" s="70">
        <v>20</v>
      </c>
      <c r="G129" s="70">
        <v>30</v>
      </c>
      <c r="I129" s="106">
        <v>0</v>
      </c>
      <c r="J129" s="106">
        <v>0</v>
      </c>
      <c r="K129" s="106">
        <v>0</v>
      </c>
      <c r="L129" s="106">
        <v>0</v>
      </c>
      <c r="M129" s="106">
        <v>0</v>
      </c>
      <c r="N129" s="106">
        <v>0</v>
      </c>
      <c r="O129" s="106">
        <v>0</v>
      </c>
      <c r="P129" s="106">
        <v>0</v>
      </c>
      <c r="Q129" s="106">
        <v>0</v>
      </c>
      <c r="R129" s="106">
        <v>0</v>
      </c>
      <c r="S129" s="106">
        <v>0</v>
      </c>
      <c r="T129" s="106">
        <v>0</v>
      </c>
      <c r="U129" s="106">
        <v>0</v>
      </c>
      <c r="V129" s="106">
        <v>0</v>
      </c>
      <c r="W129" s="106">
        <v>0</v>
      </c>
      <c r="X129" s="106">
        <v>0</v>
      </c>
      <c r="Y129" s="106">
        <v>0</v>
      </c>
      <c r="Z129" s="106">
        <v>0</v>
      </c>
      <c r="AA129" s="106">
        <v>0</v>
      </c>
      <c r="AB129" s="106">
        <v>0</v>
      </c>
      <c r="AC129" s="106">
        <v>0</v>
      </c>
      <c r="AD129" s="106">
        <v>0</v>
      </c>
      <c r="AE129" s="106">
        <v>0</v>
      </c>
      <c r="AF129" s="106">
        <v>0</v>
      </c>
      <c r="AG129" s="106">
        <v>0</v>
      </c>
      <c r="AH129" s="106">
        <v>0</v>
      </c>
      <c r="AI129" s="106">
        <v>0</v>
      </c>
      <c r="AJ129" s="106">
        <v>0</v>
      </c>
      <c r="AK129" s="106">
        <v>0</v>
      </c>
      <c r="AL129" s="106">
        <v>0</v>
      </c>
      <c r="AM129" s="108">
        <v>0</v>
      </c>
      <c r="AN129" s="70">
        <f t="shared" si="15"/>
        <v>0</v>
      </c>
      <c r="AO129" s="70">
        <v>20</v>
      </c>
      <c r="AP129" s="107">
        <f t="shared" si="16"/>
        <v>20</v>
      </c>
      <c r="AQ129" s="109">
        <v>20</v>
      </c>
      <c r="AR129" s="70">
        <v>95</v>
      </c>
      <c r="AS129" s="144">
        <f t="shared" si="18"/>
        <v>1900</v>
      </c>
      <c r="AU129">
        <f t="shared" si="17"/>
        <v>115</v>
      </c>
    </row>
    <row r="130" spans="4:47" x14ac:dyDescent="0.25">
      <c r="D130" s="75" t="s">
        <v>59</v>
      </c>
      <c r="E130" s="70">
        <v>28</v>
      </c>
      <c r="F130" s="70">
        <v>14</v>
      </c>
      <c r="G130" s="70">
        <v>30</v>
      </c>
      <c r="I130" s="106">
        <v>0</v>
      </c>
      <c r="J130" s="106">
        <v>0</v>
      </c>
      <c r="K130" s="106">
        <v>0</v>
      </c>
      <c r="L130" s="106">
        <v>0</v>
      </c>
      <c r="M130" s="106">
        <v>0</v>
      </c>
      <c r="N130" s="106">
        <v>0</v>
      </c>
      <c r="O130" s="106">
        <v>0</v>
      </c>
      <c r="P130" s="106">
        <v>0</v>
      </c>
      <c r="Q130" s="106">
        <v>0</v>
      </c>
      <c r="R130" s="106">
        <v>0</v>
      </c>
      <c r="S130" s="106">
        <v>0</v>
      </c>
      <c r="T130" s="106">
        <v>0</v>
      </c>
      <c r="U130" s="106">
        <v>0</v>
      </c>
      <c r="V130" s="106">
        <v>0</v>
      </c>
      <c r="W130" s="106">
        <v>0</v>
      </c>
      <c r="X130" s="106">
        <v>0</v>
      </c>
      <c r="Y130" s="106">
        <v>0</v>
      </c>
      <c r="Z130" s="106">
        <v>0</v>
      </c>
      <c r="AA130" s="106">
        <v>0</v>
      </c>
      <c r="AB130" s="106">
        <v>0</v>
      </c>
      <c r="AC130" s="106">
        <v>0</v>
      </c>
      <c r="AD130" s="106">
        <v>0</v>
      </c>
      <c r="AE130" s="106">
        <v>0</v>
      </c>
      <c r="AF130" s="106">
        <v>0</v>
      </c>
      <c r="AG130" s="106">
        <v>0</v>
      </c>
      <c r="AH130" s="106">
        <v>0</v>
      </c>
      <c r="AI130" s="106">
        <v>0</v>
      </c>
      <c r="AJ130" s="106">
        <v>0</v>
      </c>
      <c r="AK130" s="106">
        <v>0</v>
      </c>
      <c r="AL130" s="106">
        <v>0</v>
      </c>
      <c r="AM130" s="108">
        <v>0</v>
      </c>
      <c r="AN130" s="70">
        <f t="shared" si="15"/>
        <v>0</v>
      </c>
      <c r="AO130" s="70">
        <v>20</v>
      </c>
      <c r="AP130" s="107">
        <f t="shared" si="16"/>
        <v>20</v>
      </c>
      <c r="AQ130" s="109">
        <v>20</v>
      </c>
      <c r="AR130" s="70">
        <v>67</v>
      </c>
      <c r="AS130" s="144">
        <f t="shared" si="18"/>
        <v>1340</v>
      </c>
      <c r="AU130">
        <f t="shared" si="17"/>
        <v>87</v>
      </c>
    </row>
    <row r="131" spans="4:47" x14ac:dyDescent="0.25">
      <c r="D131" s="75" t="s">
        <v>60</v>
      </c>
      <c r="E131" s="70">
        <v>29</v>
      </c>
      <c r="F131" s="70">
        <v>16</v>
      </c>
      <c r="G131" s="70">
        <v>30</v>
      </c>
      <c r="I131" s="106">
        <v>0</v>
      </c>
      <c r="J131" s="106">
        <v>0</v>
      </c>
      <c r="K131" s="106">
        <v>0</v>
      </c>
      <c r="L131" s="106">
        <v>0</v>
      </c>
      <c r="M131" s="106">
        <v>0</v>
      </c>
      <c r="N131" s="106">
        <v>0</v>
      </c>
      <c r="O131" s="106">
        <v>0</v>
      </c>
      <c r="P131" s="106">
        <v>0</v>
      </c>
      <c r="Q131" s="106">
        <v>0</v>
      </c>
      <c r="R131" s="106">
        <v>0</v>
      </c>
      <c r="S131" s="106">
        <v>0</v>
      </c>
      <c r="T131" s="106">
        <v>0</v>
      </c>
      <c r="U131" s="106">
        <v>0</v>
      </c>
      <c r="V131" s="106">
        <v>0</v>
      </c>
      <c r="W131" s="106">
        <v>0</v>
      </c>
      <c r="X131" s="106">
        <v>0</v>
      </c>
      <c r="Y131" s="106">
        <v>0</v>
      </c>
      <c r="Z131" s="106">
        <v>0</v>
      </c>
      <c r="AA131" s="106">
        <v>0</v>
      </c>
      <c r="AB131" s="106">
        <v>0</v>
      </c>
      <c r="AC131" s="106">
        <v>0</v>
      </c>
      <c r="AD131" s="106">
        <v>0</v>
      </c>
      <c r="AE131" s="106">
        <v>0</v>
      </c>
      <c r="AF131" s="106">
        <v>0</v>
      </c>
      <c r="AG131" s="106">
        <v>0</v>
      </c>
      <c r="AH131" s="106">
        <v>0</v>
      </c>
      <c r="AI131" s="106">
        <v>0</v>
      </c>
      <c r="AJ131" s="106">
        <v>0</v>
      </c>
      <c r="AK131" s="106">
        <v>0</v>
      </c>
      <c r="AL131" s="106">
        <v>0</v>
      </c>
      <c r="AM131" s="108">
        <v>0</v>
      </c>
      <c r="AN131" s="70">
        <f t="shared" si="15"/>
        <v>0</v>
      </c>
      <c r="AO131" s="70">
        <v>20</v>
      </c>
      <c r="AP131" s="107">
        <f t="shared" si="16"/>
        <v>20</v>
      </c>
      <c r="AQ131" s="109">
        <v>20</v>
      </c>
      <c r="AR131" s="70">
        <v>109</v>
      </c>
      <c r="AS131" s="144">
        <f t="shared" si="18"/>
        <v>2180</v>
      </c>
      <c r="AU131">
        <f t="shared" si="17"/>
        <v>129</v>
      </c>
    </row>
    <row r="132" spans="4:47" x14ac:dyDescent="0.25">
      <c r="D132" s="75" t="s">
        <v>61</v>
      </c>
      <c r="E132" s="70">
        <v>30</v>
      </c>
      <c r="F132" s="70">
        <v>20</v>
      </c>
      <c r="G132" s="70">
        <v>30</v>
      </c>
      <c r="I132" s="106">
        <v>0</v>
      </c>
      <c r="J132" s="106">
        <v>0</v>
      </c>
      <c r="K132" s="106">
        <v>0</v>
      </c>
      <c r="L132" s="106">
        <v>0</v>
      </c>
      <c r="M132" s="106">
        <v>0</v>
      </c>
      <c r="N132" s="106">
        <v>0</v>
      </c>
      <c r="O132" s="106">
        <v>0</v>
      </c>
      <c r="P132" s="106">
        <v>0</v>
      </c>
      <c r="Q132" s="106">
        <v>0</v>
      </c>
      <c r="R132" s="106">
        <v>0</v>
      </c>
      <c r="S132" s="106">
        <v>0</v>
      </c>
      <c r="T132" s="106">
        <v>0</v>
      </c>
      <c r="U132" s="106">
        <v>0</v>
      </c>
      <c r="V132" s="106">
        <v>0</v>
      </c>
      <c r="W132" s="106">
        <v>0</v>
      </c>
      <c r="X132" s="106">
        <v>0</v>
      </c>
      <c r="Y132" s="106">
        <v>0</v>
      </c>
      <c r="Z132" s="106">
        <v>0</v>
      </c>
      <c r="AA132" s="106">
        <v>0</v>
      </c>
      <c r="AB132" s="106">
        <v>0</v>
      </c>
      <c r="AC132" s="106">
        <v>0</v>
      </c>
      <c r="AD132" s="106">
        <v>0</v>
      </c>
      <c r="AE132" s="106">
        <v>0</v>
      </c>
      <c r="AF132" s="106">
        <v>0</v>
      </c>
      <c r="AG132" s="106">
        <v>0</v>
      </c>
      <c r="AH132" s="106">
        <v>0</v>
      </c>
      <c r="AI132" s="106">
        <v>0</v>
      </c>
      <c r="AJ132" s="106">
        <v>0</v>
      </c>
      <c r="AK132" s="106">
        <v>0</v>
      </c>
      <c r="AL132" s="106">
        <v>0</v>
      </c>
      <c r="AM132" s="108">
        <v>0</v>
      </c>
      <c r="AN132" s="70">
        <f t="shared" si="15"/>
        <v>0</v>
      </c>
      <c r="AO132" s="70">
        <v>20</v>
      </c>
      <c r="AP132" s="107">
        <f t="shared" si="16"/>
        <v>20</v>
      </c>
      <c r="AQ132" s="109">
        <v>20</v>
      </c>
      <c r="AR132" s="70">
        <v>97</v>
      </c>
      <c r="AS132" s="144">
        <f t="shared" si="18"/>
        <v>1940</v>
      </c>
      <c r="AU132">
        <f t="shared" si="17"/>
        <v>117</v>
      </c>
    </row>
    <row r="133" spans="4:47" x14ac:dyDescent="0.25">
      <c r="D133" s="75" t="s">
        <v>62</v>
      </c>
      <c r="E133" s="70">
        <v>31</v>
      </c>
      <c r="F133" s="70">
        <v>22</v>
      </c>
      <c r="G133" s="70">
        <v>30</v>
      </c>
      <c r="I133" s="106">
        <v>0</v>
      </c>
      <c r="J133" s="106">
        <v>0</v>
      </c>
      <c r="K133" s="106">
        <v>0</v>
      </c>
      <c r="L133" s="106">
        <v>0</v>
      </c>
      <c r="M133" s="106">
        <v>0</v>
      </c>
      <c r="N133" s="106">
        <v>0</v>
      </c>
      <c r="O133" s="106">
        <v>0</v>
      </c>
      <c r="P133" s="106">
        <v>0</v>
      </c>
      <c r="Q133" s="106">
        <v>0</v>
      </c>
      <c r="R133" s="106">
        <v>0</v>
      </c>
      <c r="S133" s="106">
        <v>0</v>
      </c>
      <c r="T133" s="106">
        <v>0</v>
      </c>
      <c r="U133" s="106">
        <v>0</v>
      </c>
      <c r="V133" s="106">
        <v>0</v>
      </c>
      <c r="W133" s="106">
        <v>0</v>
      </c>
      <c r="X133" s="106">
        <v>0</v>
      </c>
      <c r="Y133" s="106">
        <v>0</v>
      </c>
      <c r="Z133" s="106">
        <v>0</v>
      </c>
      <c r="AA133" s="106">
        <v>0</v>
      </c>
      <c r="AB133" s="106">
        <v>0</v>
      </c>
      <c r="AC133" s="106">
        <v>0</v>
      </c>
      <c r="AD133" s="106">
        <v>0</v>
      </c>
      <c r="AE133" s="106">
        <v>0</v>
      </c>
      <c r="AF133" s="106">
        <v>0</v>
      </c>
      <c r="AG133" s="106">
        <v>0</v>
      </c>
      <c r="AH133" s="106">
        <v>0</v>
      </c>
      <c r="AI133" s="106">
        <v>0</v>
      </c>
      <c r="AJ133" s="106">
        <v>0</v>
      </c>
      <c r="AK133" s="106">
        <v>0</v>
      </c>
      <c r="AL133" s="106">
        <v>0</v>
      </c>
      <c r="AM133" s="108">
        <v>0</v>
      </c>
      <c r="AN133" s="70">
        <f t="shared" si="15"/>
        <v>0</v>
      </c>
      <c r="AO133" s="70">
        <v>20</v>
      </c>
      <c r="AP133" s="107">
        <f t="shared" si="16"/>
        <v>20</v>
      </c>
      <c r="AQ133" s="109">
        <v>20</v>
      </c>
      <c r="AR133" s="70">
        <v>53</v>
      </c>
      <c r="AS133" s="144">
        <f t="shared" si="18"/>
        <v>1060</v>
      </c>
      <c r="AU133">
        <f t="shared" si="17"/>
        <v>73</v>
      </c>
    </row>
    <row r="134" spans="4:47" x14ac:dyDescent="0.25">
      <c r="H134" t="s">
        <v>74</v>
      </c>
      <c r="I134" s="70">
        <f>SUM(I103:I133)</f>
        <v>0</v>
      </c>
      <c r="J134" s="70">
        <f t="shared" ref="J134:AM134" si="19">SUM(J103:J133)</f>
        <v>20</v>
      </c>
      <c r="K134" s="70">
        <f t="shared" si="19"/>
        <v>20</v>
      </c>
      <c r="L134" s="70">
        <f t="shared" si="19"/>
        <v>20</v>
      </c>
      <c r="M134" s="70">
        <f t="shared" si="19"/>
        <v>20</v>
      </c>
      <c r="N134" s="70">
        <f t="shared" si="19"/>
        <v>20</v>
      </c>
      <c r="O134" s="70">
        <f t="shared" si="19"/>
        <v>20</v>
      </c>
      <c r="P134" s="70">
        <f t="shared" si="19"/>
        <v>20</v>
      </c>
      <c r="Q134" s="70">
        <f t="shared" si="19"/>
        <v>20</v>
      </c>
      <c r="R134" s="70">
        <f t="shared" si="19"/>
        <v>20</v>
      </c>
      <c r="S134" s="70">
        <f t="shared" si="19"/>
        <v>20</v>
      </c>
      <c r="T134" s="70">
        <f t="shared" si="19"/>
        <v>20</v>
      </c>
      <c r="U134" s="70">
        <f t="shared" si="19"/>
        <v>20</v>
      </c>
      <c r="V134" s="70">
        <f t="shared" si="19"/>
        <v>20</v>
      </c>
      <c r="W134" s="70">
        <f t="shared" si="19"/>
        <v>20</v>
      </c>
      <c r="X134" s="70">
        <f t="shared" si="19"/>
        <v>20</v>
      </c>
      <c r="Y134" s="70">
        <f t="shared" si="19"/>
        <v>20</v>
      </c>
      <c r="Z134" s="70">
        <f t="shared" si="19"/>
        <v>20</v>
      </c>
      <c r="AA134" s="70">
        <f t="shared" si="19"/>
        <v>20</v>
      </c>
      <c r="AB134" s="70">
        <f t="shared" si="19"/>
        <v>20</v>
      </c>
      <c r="AC134" s="70">
        <f t="shared" si="19"/>
        <v>20</v>
      </c>
      <c r="AD134" s="70">
        <f t="shared" si="19"/>
        <v>20</v>
      </c>
      <c r="AE134" s="70">
        <f t="shared" si="19"/>
        <v>20</v>
      </c>
      <c r="AF134" s="70">
        <f t="shared" si="19"/>
        <v>20</v>
      </c>
      <c r="AG134" s="70">
        <f t="shared" si="19"/>
        <v>20</v>
      </c>
      <c r="AH134" s="70">
        <f t="shared" si="19"/>
        <v>20</v>
      </c>
      <c r="AI134" s="70">
        <f t="shared" si="19"/>
        <v>20</v>
      </c>
      <c r="AJ134" s="70">
        <f t="shared" si="19"/>
        <v>20</v>
      </c>
      <c r="AK134" s="70">
        <f t="shared" si="19"/>
        <v>20</v>
      </c>
      <c r="AL134" s="70">
        <f t="shared" si="19"/>
        <v>20</v>
      </c>
      <c r="AM134" s="70">
        <f t="shared" si="19"/>
        <v>20</v>
      </c>
      <c r="AQ134">
        <f>SUM(AQ104:AQ133)</f>
        <v>600</v>
      </c>
      <c r="AS134">
        <f>SUM(AS104:AS133)</f>
        <v>49180</v>
      </c>
    </row>
    <row r="135" spans="4:47" x14ac:dyDescent="0.25">
      <c r="H135" t="s">
        <v>78</v>
      </c>
      <c r="I135" s="110">
        <v>100</v>
      </c>
      <c r="J135" s="110">
        <v>100</v>
      </c>
      <c r="K135" s="110">
        <v>100</v>
      </c>
      <c r="L135" s="110">
        <v>100</v>
      </c>
      <c r="M135" s="110">
        <v>100</v>
      </c>
      <c r="N135" s="110">
        <v>100</v>
      </c>
      <c r="O135" s="110">
        <v>100</v>
      </c>
      <c r="P135" s="110">
        <v>100</v>
      </c>
      <c r="Q135" s="110">
        <v>100</v>
      </c>
      <c r="R135" s="110">
        <v>100</v>
      </c>
      <c r="S135" s="110">
        <v>100</v>
      </c>
      <c r="T135" s="110">
        <v>100</v>
      </c>
      <c r="U135" s="110">
        <v>100</v>
      </c>
      <c r="V135" s="110">
        <v>100</v>
      </c>
      <c r="W135" s="110">
        <v>100</v>
      </c>
      <c r="X135" s="110">
        <v>100</v>
      </c>
      <c r="Y135" s="110">
        <v>100</v>
      </c>
      <c r="Z135" s="110">
        <v>100</v>
      </c>
      <c r="AA135" s="110">
        <v>100</v>
      </c>
      <c r="AB135" s="110">
        <v>100</v>
      </c>
      <c r="AC135" s="110">
        <v>100</v>
      </c>
      <c r="AD135" s="110">
        <v>100</v>
      </c>
      <c r="AE135" s="110">
        <v>100</v>
      </c>
      <c r="AF135" s="110">
        <v>100</v>
      </c>
      <c r="AG135" s="110">
        <v>100</v>
      </c>
      <c r="AH135" s="110">
        <v>100</v>
      </c>
      <c r="AI135" s="110">
        <v>100</v>
      </c>
      <c r="AJ135" s="110">
        <v>100</v>
      </c>
      <c r="AK135" s="110">
        <v>100</v>
      </c>
      <c r="AL135" s="110">
        <v>100</v>
      </c>
      <c r="AM135" s="110">
        <v>100</v>
      </c>
    </row>
    <row r="136" spans="4:47" ht="21" x14ac:dyDescent="0.35">
      <c r="H136" t="s">
        <v>79</v>
      </c>
      <c r="I136" s="111">
        <f>I55</f>
        <v>1</v>
      </c>
      <c r="J136" s="111">
        <f t="shared" ref="J136:AM136" si="20">J55</f>
        <v>1</v>
      </c>
      <c r="K136" s="111">
        <f t="shared" si="20"/>
        <v>1</v>
      </c>
      <c r="L136" s="111">
        <f t="shared" si="20"/>
        <v>1</v>
      </c>
      <c r="M136" s="111">
        <f t="shared" si="20"/>
        <v>1</v>
      </c>
      <c r="N136" s="111">
        <f t="shared" si="20"/>
        <v>1</v>
      </c>
      <c r="O136" s="111">
        <f t="shared" si="20"/>
        <v>1</v>
      </c>
      <c r="P136" s="111">
        <f t="shared" si="20"/>
        <v>1</v>
      </c>
      <c r="Q136" s="111">
        <f t="shared" si="20"/>
        <v>1</v>
      </c>
      <c r="R136" s="111">
        <f t="shared" si="20"/>
        <v>1</v>
      </c>
      <c r="S136" s="111">
        <f t="shared" si="20"/>
        <v>1</v>
      </c>
      <c r="T136" s="111">
        <f t="shared" si="20"/>
        <v>1</v>
      </c>
      <c r="U136" s="111">
        <f t="shared" si="20"/>
        <v>1</v>
      </c>
      <c r="V136" s="111">
        <f t="shared" si="20"/>
        <v>1</v>
      </c>
      <c r="W136" s="111">
        <f t="shared" si="20"/>
        <v>1</v>
      </c>
      <c r="X136" s="111">
        <f t="shared" si="20"/>
        <v>1</v>
      </c>
      <c r="Y136" s="111">
        <f t="shared" si="20"/>
        <v>1</v>
      </c>
      <c r="Z136" s="111">
        <f t="shared" si="20"/>
        <v>1</v>
      </c>
      <c r="AA136" s="111">
        <f t="shared" si="20"/>
        <v>1</v>
      </c>
      <c r="AB136" s="111">
        <f t="shared" si="20"/>
        <v>1</v>
      </c>
      <c r="AC136" s="111">
        <f t="shared" si="20"/>
        <v>1</v>
      </c>
      <c r="AD136" s="111">
        <f t="shared" si="20"/>
        <v>1</v>
      </c>
      <c r="AE136" s="111">
        <f t="shared" si="20"/>
        <v>1</v>
      </c>
      <c r="AF136" s="111">
        <f t="shared" si="20"/>
        <v>1</v>
      </c>
      <c r="AG136" s="111">
        <f t="shared" si="20"/>
        <v>1</v>
      </c>
      <c r="AH136" s="111">
        <f t="shared" si="20"/>
        <v>1</v>
      </c>
      <c r="AI136" s="111">
        <f t="shared" si="20"/>
        <v>1</v>
      </c>
      <c r="AJ136" s="111">
        <f t="shared" si="20"/>
        <v>1</v>
      </c>
      <c r="AK136" s="111">
        <f t="shared" si="20"/>
        <v>1</v>
      </c>
      <c r="AL136" s="111">
        <f t="shared" si="20"/>
        <v>1</v>
      </c>
      <c r="AM136" s="111">
        <f t="shared" si="20"/>
        <v>1</v>
      </c>
      <c r="AN136" s="112">
        <f>SUM(I136:AM136)</f>
        <v>31</v>
      </c>
    </row>
    <row r="138" spans="4:47" x14ac:dyDescent="0.25">
      <c r="AS138">
        <v>440650</v>
      </c>
    </row>
    <row r="139" spans="4:47" x14ac:dyDescent="0.25">
      <c r="AS139">
        <f>AS134-AS138</f>
        <v>-391470</v>
      </c>
    </row>
    <row r="146" spans="4:72" x14ac:dyDescent="0.25">
      <c r="H146" s="66" t="s">
        <v>31</v>
      </c>
      <c r="I146" s="67" t="s">
        <v>32</v>
      </c>
      <c r="J146" s="67" t="s">
        <v>33</v>
      </c>
      <c r="K146" s="67" t="s">
        <v>34</v>
      </c>
      <c r="L146" s="67" t="s">
        <v>35</v>
      </c>
      <c r="M146" s="67" t="s">
        <v>36</v>
      </c>
      <c r="N146" s="67" t="s">
        <v>37</v>
      </c>
      <c r="O146" s="67" t="s">
        <v>38</v>
      </c>
      <c r="P146" s="67" t="s">
        <v>39</v>
      </c>
      <c r="Q146" s="67" t="s">
        <v>40</v>
      </c>
      <c r="R146" s="67" t="s">
        <v>41</v>
      </c>
      <c r="S146" s="67" t="s">
        <v>42</v>
      </c>
      <c r="T146" s="67" t="s">
        <v>43</v>
      </c>
      <c r="U146" s="67" t="s">
        <v>44</v>
      </c>
      <c r="V146" s="67" t="s">
        <v>45</v>
      </c>
      <c r="W146" s="67" t="s">
        <v>46</v>
      </c>
      <c r="X146" s="67" t="s">
        <v>47</v>
      </c>
      <c r="Y146" s="67" t="s">
        <v>48</v>
      </c>
      <c r="Z146" s="67" t="s">
        <v>49</v>
      </c>
      <c r="AA146" s="67" t="s">
        <v>50</v>
      </c>
      <c r="AB146" s="67" t="s">
        <v>51</v>
      </c>
      <c r="AC146" s="67" t="s">
        <v>52</v>
      </c>
      <c r="AD146" s="67" t="s">
        <v>53</v>
      </c>
      <c r="AE146" s="67" t="s">
        <v>54</v>
      </c>
      <c r="AF146" s="67" t="s">
        <v>55</v>
      </c>
      <c r="AG146" s="67" t="s">
        <v>56</v>
      </c>
      <c r="AH146" s="67" t="s">
        <v>57</v>
      </c>
      <c r="AI146" s="67" t="s">
        <v>58</v>
      </c>
      <c r="AJ146" s="67" t="s">
        <v>59</v>
      </c>
      <c r="AK146" s="67" t="s">
        <v>60</v>
      </c>
      <c r="AL146" s="67" t="s">
        <v>61</v>
      </c>
      <c r="AM146" s="67" t="s">
        <v>62</v>
      </c>
    </row>
    <row r="147" spans="4:72" x14ac:dyDescent="0.25">
      <c r="H147" s="69" t="s">
        <v>63</v>
      </c>
      <c r="I147" s="70">
        <v>1</v>
      </c>
      <c r="J147" s="70">
        <v>2</v>
      </c>
      <c r="K147" s="70">
        <v>3</v>
      </c>
      <c r="L147" s="70">
        <v>4</v>
      </c>
      <c r="M147" s="70">
        <v>5</v>
      </c>
      <c r="N147" s="70">
        <v>6</v>
      </c>
      <c r="O147" s="70">
        <v>7</v>
      </c>
      <c r="P147" s="70">
        <v>8</v>
      </c>
      <c r="Q147" s="70">
        <v>9</v>
      </c>
      <c r="R147" s="70">
        <v>10</v>
      </c>
      <c r="S147" s="70">
        <v>11</v>
      </c>
      <c r="T147" s="70">
        <v>12</v>
      </c>
      <c r="U147" s="70">
        <v>13</v>
      </c>
      <c r="V147" s="70">
        <v>14</v>
      </c>
      <c r="W147" s="70">
        <v>15</v>
      </c>
      <c r="X147" s="70">
        <v>16</v>
      </c>
      <c r="Y147" s="70">
        <v>17</v>
      </c>
      <c r="Z147" s="70">
        <v>18</v>
      </c>
      <c r="AA147" s="70">
        <v>19</v>
      </c>
      <c r="AB147" s="70">
        <v>20</v>
      </c>
      <c r="AC147" s="70">
        <v>21</v>
      </c>
      <c r="AD147" s="70">
        <v>22</v>
      </c>
      <c r="AE147" s="70">
        <v>23</v>
      </c>
      <c r="AF147" s="70">
        <v>24</v>
      </c>
      <c r="AG147" s="70">
        <v>25</v>
      </c>
      <c r="AH147" s="70">
        <v>26</v>
      </c>
      <c r="AI147" s="70">
        <v>27</v>
      </c>
      <c r="AJ147" s="70">
        <v>28</v>
      </c>
      <c r="AK147" s="70">
        <v>29</v>
      </c>
      <c r="AL147" s="70">
        <v>30</v>
      </c>
      <c r="AM147" s="70">
        <v>31</v>
      </c>
    </row>
    <row r="148" spans="4:72" s="59" customFormat="1" x14ac:dyDescent="0.25">
      <c r="D148" s="58"/>
      <c r="H148" s="69" t="s">
        <v>64</v>
      </c>
      <c r="I148" s="70">
        <f t="shared" ref="I148" ca="1" si="21">OFFSET($F$8,I147,0)</f>
        <v>0</v>
      </c>
      <c r="J148" s="70">
        <f ca="1">OFFSET($F$8,J147,0)</f>
        <v>-22</v>
      </c>
      <c r="K148" s="70">
        <f t="shared" ref="K148:AM148" ca="1" si="22">OFFSET($F$8,K147,0)</f>
        <v>-20</v>
      </c>
      <c r="L148" s="70">
        <f t="shared" ca="1" si="22"/>
        <v>-16</v>
      </c>
      <c r="M148" s="70">
        <f t="shared" ca="1" si="22"/>
        <v>-14</v>
      </c>
      <c r="N148" s="70">
        <f t="shared" ca="1" si="22"/>
        <v>-10</v>
      </c>
      <c r="O148" s="70">
        <f t="shared" ca="1" si="22"/>
        <v>10</v>
      </c>
      <c r="P148" s="70">
        <f t="shared" ca="1" si="22"/>
        <v>14</v>
      </c>
      <c r="Q148" s="70">
        <f t="shared" ca="1" si="22"/>
        <v>16</v>
      </c>
      <c r="R148" s="70">
        <f t="shared" ca="1" si="22"/>
        <v>20</v>
      </c>
      <c r="S148" s="70">
        <f t="shared" ca="1" si="22"/>
        <v>22</v>
      </c>
      <c r="T148" s="70">
        <f t="shared" ca="1" si="22"/>
        <v>-22</v>
      </c>
      <c r="U148" s="70">
        <f t="shared" ca="1" si="22"/>
        <v>-20</v>
      </c>
      <c r="V148" s="70">
        <f t="shared" ca="1" si="22"/>
        <v>-16</v>
      </c>
      <c r="W148" s="70">
        <f t="shared" ca="1" si="22"/>
        <v>-14</v>
      </c>
      <c r="X148" s="70">
        <f t="shared" ca="1" si="22"/>
        <v>-10</v>
      </c>
      <c r="Y148" s="70">
        <f t="shared" ca="1" si="22"/>
        <v>10</v>
      </c>
      <c r="Z148" s="70">
        <f t="shared" ca="1" si="22"/>
        <v>14</v>
      </c>
      <c r="AA148" s="70">
        <f t="shared" ca="1" si="22"/>
        <v>16</v>
      </c>
      <c r="AB148" s="70">
        <f t="shared" ca="1" si="22"/>
        <v>20</v>
      </c>
      <c r="AC148" s="70">
        <f t="shared" ca="1" si="22"/>
        <v>22</v>
      </c>
      <c r="AD148" s="70">
        <f t="shared" ca="1" si="22"/>
        <v>-22</v>
      </c>
      <c r="AE148" s="70">
        <f t="shared" ca="1" si="22"/>
        <v>-20</v>
      </c>
      <c r="AF148" s="70">
        <f t="shared" ca="1" si="22"/>
        <v>-16</v>
      </c>
      <c r="AG148" s="70">
        <f t="shared" ca="1" si="22"/>
        <v>-14</v>
      </c>
      <c r="AH148" s="70">
        <f t="shared" ca="1" si="22"/>
        <v>-10</v>
      </c>
      <c r="AI148" s="70">
        <f t="shared" ca="1" si="22"/>
        <v>20</v>
      </c>
      <c r="AJ148" s="70">
        <f t="shared" ca="1" si="22"/>
        <v>14</v>
      </c>
      <c r="AK148" s="70">
        <f t="shared" ca="1" si="22"/>
        <v>16</v>
      </c>
      <c r="AL148" s="70">
        <f t="shared" ca="1" si="22"/>
        <v>20</v>
      </c>
      <c r="AM148" s="70">
        <f t="shared" ca="1" si="22"/>
        <v>22</v>
      </c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</row>
    <row r="149" spans="4:72" s="59" customFormat="1" x14ac:dyDescent="0.25">
      <c r="D149" s="58"/>
      <c r="H149" s="69" t="s">
        <v>65</v>
      </c>
      <c r="I149" s="70">
        <f t="shared" ref="I149:AM149" ca="1" si="23">OFFSET($G$8,I147,0)</f>
        <v>0</v>
      </c>
      <c r="J149" s="70">
        <f t="shared" ca="1" si="23"/>
        <v>10</v>
      </c>
      <c r="K149" s="70">
        <f t="shared" ca="1" si="23"/>
        <v>10</v>
      </c>
      <c r="L149" s="70">
        <f t="shared" ca="1" si="23"/>
        <v>10</v>
      </c>
      <c r="M149" s="70">
        <f t="shared" ca="1" si="23"/>
        <v>10</v>
      </c>
      <c r="N149" s="70">
        <f t="shared" ca="1" si="23"/>
        <v>10</v>
      </c>
      <c r="O149" s="70">
        <f t="shared" ca="1" si="23"/>
        <v>10</v>
      </c>
      <c r="P149" s="70">
        <f t="shared" ca="1" si="23"/>
        <v>10</v>
      </c>
      <c r="Q149" s="70">
        <f t="shared" ca="1" si="23"/>
        <v>10</v>
      </c>
      <c r="R149" s="70">
        <f t="shared" ca="1" si="23"/>
        <v>10</v>
      </c>
      <c r="S149" s="70">
        <f t="shared" ca="1" si="23"/>
        <v>10</v>
      </c>
      <c r="T149" s="70">
        <f t="shared" ca="1" si="23"/>
        <v>20</v>
      </c>
      <c r="U149" s="70">
        <f t="shared" ca="1" si="23"/>
        <v>20</v>
      </c>
      <c r="V149" s="70">
        <f t="shared" ca="1" si="23"/>
        <v>20</v>
      </c>
      <c r="W149" s="70">
        <f t="shared" ca="1" si="23"/>
        <v>20</v>
      </c>
      <c r="X149" s="70">
        <f t="shared" ca="1" si="23"/>
        <v>20</v>
      </c>
      <c r="Y149" s="70">
        <f t="shared" ca="1" si="23"/>
        <v>20</v>
      </c>
      <c r="Z149" s="70">
        <f t="shared" ca="1" si="23"/>
        <v>20</v>
      </c>
      <c r="AA149" s="70">
        <f t="shared" ca="1" si="23"/>
        <v>20</v>
      </c>
      <c r="AB149" s="70">
        <f t="shared" ca="1" si="23"/>
        <v>20</v>
      </c>
      <c r="AC149" s="70">
        <f t="shared" ca="1" si="23"/>
        <v>20</v>
      </c>
      <c r="AD149" s="70">
        <f t="shared" ca="1" si="23"/>
        <v>30</v>
      </c>
      <c r="AE149" s="70">
        <f t="shared" ca="1" si="23"/>
        <v>30</v>
      </c>
      <c r="AF149" s="70">
        <f t="shared" ca="1" si="23"/>
        <v>30</v>
      </c>
      <c r="AG149" s="70">
        <f t="shared" ca="1" si="23"/>
        <v>30</v>
      </c>
      <c r="AH149" s="70">
        <f t="shared" ca="1" si="23"/>
        <v>30</v>
      </c>
      <c r="AI149" s="70">
        <f t="shared" ca="1" si="23"/>
        <v>32</v>
      </c>
      <c r="AJ149" s="70">
        <f t="shared" ca="1" si="23"/>
        <v>30</v>
      </c>
      <c r="AK149" s="70">
        <f t="shared" ca="1" si="23"/>
        <v>30</v>
      </c>
      <c r="AL149" s="70">
        <f t="shared" ca="1" si="23"/>
        <v>30</v>
      </c>
      <c r="AM149" s="70">
        <f t="shared" ca="1" si="23"/>
        <v>30</v>
      </c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</row>
    <row r="150" spans="4:72" s="59" customFormat="1" x14ac:dyDescent="0.25">
      <c r="D150" s="73" t="s">
        <v>31</v>
      </c>
      <c r="E150" s="69" t="s">
        <v>63</v>
      </c>
      <c r="F150" s="69" t="s">
        <v>64</v>
      </c>
      <c r="G150" s="69" t="s">
        <v>65</v>
      </c>
      <c r="H150" s="59" t="s">
        <v>68</v>
      </c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</row>
    <row r="151" spans="4:72" s="59" customFormat="1" x14ac:dyDescent="0.25">
      <c r="D151" s="75" t="s">
        <v>32</v>
      </c>
      <c r="E151" s="70">
        <v>1</v>
      </c>
      <c r="F151" s="70">
        <v>0</v>
      </c>
      <c r="G151" s="70">
        <v>0</v>
      </c>
      <c r="H151"/>
      <c r="I151" s="113">
        <f>I103-I55*$I$135</f>
        <v>-100</v>
      </c>
      <c r="J151" s="113">
        <f>J103-J55*$J$135</f>
        <v>-80</v>
      </c>
      <c r="K151" s="113">
        <f>K103-K55*$K$135</f>
        <v>-80</v>
      </c>
      <c r="L151" s="113">
        <f>L103-L55*$L$135</f>
        <v>-80</v>
      </c>
      <c r="M151" s="113">
        <f>M103-M55*$M$135</f>
        <v>-80</v>
      </c>
      <c r="N151" s="113">
        <f>N103-N55*$N$135</f>
        <v>-80</v>
      </c>
      <c r="O151" s="113">
        <f>O103-O55*$O$135</f>
        <v>-80</v>
      </c>
      <c r="P151" s="113">
        <f>P103-P55*$P$135</f>
        <v>-80</v>
      </c>
      <c r="Q151" s="113">
        <f>Q103-Q55*$Q$135</f>
        <v>-80</v>
      </c>
      <c r="R151" s="113">
        <f>R103-R55*$R$135</f>
        <v>-80</v>
      </c>
      <c r="S151" s="113">
        <f>S103-S55*$S$135</f>
        <v>-80</v>
      </c>
      <c r="T151" s="113">
        <f>T103-T55*$T$135</f>
        <v>-80</v>
      </c>
      <c r="U151" s="113">
        <f>U103-U55*$U$135</f>
        <v>-80</v>
      </c>
      <c r="V151" s="113">
        <f>V103-V55*$V$135</f>
        <v>-80</v>
      </c>
      <c r="W151" s="113">
        <f>W103-W55*$W$135</f>
        <v>-80</v>
      </c>
      <c r="X151" s="113">
        <f>X103-X55*$X$135</f>
        <v>-80</v>
      </c>
      <c r="Y151" s="113">
        <f>Y103-Y55*$Y$135</f>
        <v>-80</v>
      </c>
      <c r="Z151" s="113">
        <f>Z103-Z55*$Z$135</f>
        <v>-80</v>
      </c>
      <c r="AA151" s="113">
        <f>AA103-AA55*$AA$135</f>
        <v>-80</v>
      </c>
      <c r="AB151" s="113">
        <f>AB103-AB55*$AB$135</f>
        <v>-80</v>
      </c>
      <c r="AC151" s="113">
        <f>AC103-AC55*$AC$135</f>
        <v>-80</v>
      </c>
      <c r="AD151" s="113">
        <f>AD103-AD55*$AD$135</f>
        <v>-80</v>
      </c>
      <c r="AE151" s="113">
        <f>AE103-AE55*$AE$135</f>
        <v>-80</v>
      </c>
      <c r="AF151" s="113">
        <f>AF103-AF55*$AF$135</f>
        <v>-80</v>
      </c>
      <c r="AG151" s="113">
        <f>AG103-AG55*$AG$135</f>
        <v>-80</v>
      </c>
      <c r="AH151" s="113">
        <f>AH103-AH55*$AH$135</f>
        <v>-80</v>
      </c>
      <c r="AI151" s="113">
        <f>AI103-AI55*$AI$135</f>
        <v>-80</v>
      </c>
      <c r="AJ151" s="113">
        <f>AJ103-AJ55*$AJ$135</f>
        <v>-80</v>
      </c>
      <c r="AK151" s="113">
        <f>AK103-AK55*$AK$135</f>
        <v>-80</v>
      </c>
      <c r="AL151" s="113">
        <f>AL103-AL55*$AL$135</f>
        <v>-80</v>
      </c>
      <c r="AM151" s="113">
        <f>AM103-AM55*$AM$135</f>
        <v>-80</v>
      </c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</row>
    <row r="152" spans="4:72" s="59" customFormat="1" x14ac:dyDescent="0.25">
      <c r="D152" s="75" t="s">
        <v>33</v>
      </c>
      <c r="E152" s="70">
        <v>2</v>
      </c>
      <c r="F152" s="70">
        <v>-22</v>
      </c>
      <c r="G152" s="70">
        <v>10</v>
      </c>
      <c r="H152"/>
      <c r="I152" s="113">
        <f t="shared" ref="I152:I181" si="24">I104-I56*$I$135</f>
        <v>-100</v>
      </c>
      <c r="J152" s="113">
        <f t="shared" ref="J152:J181" si="25">J104-J56*$J$135</f>
        <v>0</v>
      </c>
      <c r="K152" s="113">
        <f t="shared" ref="K152:K181" si="26">K104-K56*$K$135</f>
        <v>0</v>
      </c>
      <c r="L152" s="113">
        <f t="shared" ref="L152:L181" si="27">L104-L56*$L$135</f>
        <v>0</v>
      </c>
      <c r="M152" s="113">
        <f t="shared" ref="M152:M181" si="28">M104-M56*$M$135</f>
        <v>0</v>
      </c>
      <c r="N152" s="113">
        <f t="shared" ref="N152:N181" si="29">N104-N56*$N$135</f>
        <v>0</v>
      </c>
      <c r="O152" s="113">
        <f t="shared" ref="O152:O181" si="30">O104-O56*$O$135</f>
        <v>0</v>
      </c>
      <c r="P152" s="113">
        <f t="shared" ref="P152:P181" si="31">P104-P56*$P$135</f>
        <v>0</v>
      </c>
      <c r="Q152" s="113">
        <f t="shared" ref="Q152:Q181" si="32">Q104-Q56*$Q$135</f>
        <v>0</v>
      </c>
      <c r="R152" s="113">
        <f t="shared" ref="R152:R181" si="33">R104-R56*$R$135</f>
        <v>0</v>
      </c>
      <c r="S152" s="113">
        <f t="shared" ref="S152:S181" si="34">S104-S56*$S$135</f>
        <v>0</v>
      </c>
      <c r="T152" s="113">
        <f t="shared" ref="T152:T181" si="35">T104-T56*$T$135</f>
        <v>0</v>
      </c>
      <c r="U152" s="113">
        <f t="shared" ref="U152:U181" si="36">U104-U56*$U$135</f>
        <v>0</v>
      </c>
      <c r="V152" s="113">
        <f t="shared" ref="V152:V181" si="37">V104-V56*$V$135</f>
        <v>0</v>
      </c>
      <c r="W152" s="113">
        <f t="shared" ref="W152:W181" si="38">W104-W56*$W$135</f>
        <v>0</v>
      </c>
      <c r="X152" s="113">
        <f t="shared" ref="X152:X181" si="39">X104-X56*$X$135</f>
        <v>0</v>
      </c>
      <c r="Y152" s="113">
        <f t="shared" ref="Y152:Y181" si="40">Y104-Y56*$Y$135</f>
        <v>0</v>
      </c>
      <c r="Z152" s="113">
        <f t="shared" ref="Z152:Z181" si="41">Z104-Z56*$Z$135</f>
        <v>0</v>
      </c>
      <c r="AA152" s="113">
        <f t="shared" ref="AA152:AA181" si="42">AA104-AA56*$AA$135</f>
        <v>0</v>
      </c>
      <c r="AB152" s="113">
        <f t="shared" ref="AB152:AB180" si="43">AB104-AB56*$AB$135</f>
        <v>0</v>
      </c>
      <c r="AC152" s="113">
        <f t="shared" ref="AC152:AC181" si="44">AC104-AC56*$AC$135</f>
        <v>0</v>
      </c>
      <c r="AD152" s="113">
        <f t="shared" ref="AD152:AD181" si="45">AD104-AD56*$AD$135</f>
        <v>0</v>
      </c>
      <c r="AE152" s="113">
        <f t="shared" ref="AE152:AE181" si="46">AE104-AE56*$AE$135</f>
        <v>0</v>
      </c>
      <c r="AF152" s="113">
        <f t="shared" ref="AF152:AF181" si="47">AF104-AF56*$AF$135</f>
        <v>0</v>
      </c>
      <c r="AG152" s="113">
        <f t="shared" ref="AG152:AG181" si="48">AG104-AG56*$AG$135</f>
        <v>0</v>
      </c>
      <c r="AH152" s="113">
        <f t="shared" ref="AH152:AH181" si="49">AH104-AH56*$AH$135</f>
        <v>0</v>
      </c>
      <c r="AI152" s="113">
        <f t="shared" ref="AI152:AI181" si="50">AI104-AI56*$AI$135</f>
        <v>0</v>
      </c>
      <c r="AJ152" s="113">
        <f t="shared" ref="AJ152:AJ181" si="51">AJ104-AJ56*$AJ$135</f>
        <v>0</v>
      </c>
      <c r="AK152" s="113">
        <f t="shared" ref="AK152:AK181" si="52">AK104-AK56*$AK$135</f>
        <v>0</v>
      </c>
      <c r="AL152" s="113">
        <f t="shared" ref="AL152:AL181" si="53">AL104-AL56*$AL$135</f>
        <v>0</v>
      </c>
      <c r="AM152" s="113">
        <f t="shared" ref="AM152:AM181" si="54">AM104-AM56*$AM$135</f>
        <v>0</v>
      </c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</row>
    <row r="153" spans="4:72" s="59" customFormat="1" x14ac:dyDescent="0.25">
      <c r="D153" s="75" t="s">
        <v>34</v>
      </c>
      <c r="E153" s="70">
        <v>3</v>
      </c>
      <c r="F153" s="70">
        <v>-20</v>
      </c>
      <c r="G153" s="70">
        <v>10</v>
      </c>
      <c r="H153"/>
      <c r="I153" s="113">
        <f t="shared" si="24"/>
        <v>-100</v>
      </c>
      <c r="J153" s="113">
        <f t="shared" si="25"/>
        <v>0</v>
      </c>
      <c r="K153" s="113">
        <f t="shared" si="26"/>
        <v>0</v>
      </c>
      <c r="L153" s="113">
        <f t="shared" si="27"/>
        <v>0</v>
      </c>
      <c r="M153" s="113">
        <f t="shared" si="28"/>
        <v>0</v>
      </c>
      <c r="N153" s="113">
        <f t="shared" si="29"/>
        <v>0</v>
      </c>
      <c r="O153" s="113">
        <f t="shared" si="30"/>
        <v>0</v>
      </c>
      <c r="P153" s="113">
        <f t="shared" si="31"/>
        <v>0</v>
      </c>
      <c r="Q153" s="113">
        <f t="shared" si="32"/>
        <v>0</v>
      </c>
      <c r="R153" s="113">
        <f t="shared" si="33"/>
        <v>0</v>
      </c>
      <c r="S153" s="113">
        <f t="shared" si="34"/>
        <v>0</v>
      </c>
      <c r="T153" s="113">
        <f t="shared" si="35"/>
        <v>0</v>
      </c>
      <c r="U153" s="113">
        <f t="shared" si="36"/>
        <v>0</v>
      </c>
      <c r="V153" s="113">
        <f t="shared" si="37"/>
        <v>0</v>
      </c>
      <c r="W153" s="113">
        <f t="shared" si="38"/>
        <v>0</v>
      </c>
      <c r="X153" s="113">
        <f t="shared" si="39"/>
        <v>0</v>
      </c>
      <c r="Y153" s="113">
        <f t="shared" si="40"/>
        <v>0</v>
      </c>
      <c r="Z153" s="113">
        <f t="shared" si="41"/>
        <v>0</v>
      </c>
      <c r="AA153" s="113">
        <f t="shared" si="42"/>
        <v>0</v>
      </c>
      <c r="AB153" s="113">
        <f t="shared" si="43"/>
        <v>0</v>
      </c>
      <c r="AC153" s="113">
        <f t="shared" si="44"/>
        <v>0</v>
      </c>
      <c r="AD153" s="113">
        <f t="shared" si="45"/>
        <v>0</v>
      </c>
      <c r="AE153" s="113">
        <f t="shared" si="46"/>
        <v>0</v>
      </c>
      <c r="AF153" s="113">
        <f t="shared" si="47"/>
        <v>0</v>
      </c>
      <c r="AG153" s="113">
        <f t="shared" si="48"/>
        <v>0</v>
      </c>
      <c r="AH153" s="113">
        <f t="shared" si="49"/>
        <v>0</v>
      </c>
      <c r="AI153" s="113">
        <f t="shared" si="50"/>
        <v>0</v>
      </c>
      <c r="AJ153" s="113">
        <f t="shared" si="51"/>
        <v>0</v>
      </c>
      <c r="AK153" s="113">
        <f t="shared" si="52"/>
        <v>0</v>
      </c>
      <c r="AL153" s="113">
        <f t="shared" si="53"/>
        <v>0</v>
      </c>
      <c r="AM153" s="113">
        <f t="shared" si="54"/>
        <v>0</v>
      </c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</row>
    <row r="154" spans="4:72" s="59" customFormat="1" x14ac:dyDescent="0.25">
      <c r="D154" s="75" t="s">
        <v>35</v>
      </c>
      <c r="E154" s="70">
        <v>4</v>
      </c>
      <c r="F154" s="70">
        <v>-16</v>
      </c>
      <c r="G154" s="70">
        <v>10</v>
      </c>
      <c r="H154"/>
      <c r="I154" s="113">
        <f t="shared" si="24"/>
        <v>-100</v>
      </c>
      <c r="J154" s="113">
        <f t="shared" si="25"/>
        <v>0</v>
      </c>
      <c r="K154" s="113">
        <f t="shared" si="26"/>
        <v>0</v>
      </c>
      <c r="L154" s="113">
        <f t="shared" si="27"/>
        <v>0</v>
      </c>
      <c r="M154" s="113">
        <f t="shared" si="28"/>
        <v>0</v>
      </c>
      <c r="N154" s="113">
        <f t="shared" si="29"/>
        <v>0</v>
      </c>
      <c r="O154" s="113">
        <f t="shared" si="30"/>
        <v>0</v>
      </c>
      <c r="P154" s="113">
        <f t="shared" si="31"/>
        <v>0</v>
      </c>
      <c r="Q154" s="113">
        <f t="shared" si="32"/>
        <v>0</v>
      </c>
      <c r="R154" s="113">
        <f t="shared" si="33"/>
        <v>0</v>
      </c>
      <c r="S154" s="113">
        <f t="shared" si="34"/>
        <v>0</v>
      </c>
      <c r="T154" s="113">
        <f t="shared" si="35"/>
        <v>0</v>
      </c>
      <c r="U154" s="113">
        <f t="shared" si="36"/>
        <v>0</v>
      </c>
      <c r="V154" s="113">
        <f t="shared" si="37"/>
        <v>0</v>
      </c>
      <c r="W154" s="113">
        <f t="shared" si="38"/>
        <v>0</v>
      </c>
      <c r="X154" s="113">
        <f t="shared" si="39"/>
        <v>0</v>
      </c>
      <c r="Y154" s="113">
        <f t="shared" si="40"/>
        <v>0</v>
      </c>
      <c r="Z154" s="113">
        <f t="shared" si="41"/>
        <v>0</v>
      </c>
      <c r="AA154" s="113">
        <f t="shared" si="42"/>
        <v>0</v>
      </c>
      <c r="AB154" s="113">
        <f t="shared" si="43"/>
        <v>0</v>
      </c>
      <c r="AC154" s="113">
        <f t="shared" si="44"/>
        <v>0</v>
      </c>
      <c r="AD154" s="113">
        <f t="shared" si="45"/>
        <v>0</v>
      </c>
      <c r="AE154" s="113">
        <f t="shared" si="46"/>
        <v>0</v>
      </c>
      <c r="AF154" s="113">
        <f t="shared" si="47"/>
        <v>0</v>
      </c>
      <c r="AG154" s="113">
        <f t="shared" si="48"/>
        <v>0</v>
      </c>
      <c r="AH154" s="113">
        <f t="shared" si="49"/>
        <v>0</v>
      </c>
      <c r="AI154" s="113">
        <f t="shared" si="50"/>
        <v>0</v>
      </c>
      <c r="AJ154" s="113">
        <f t="shared" si="51"/>
        <v>0</v>
      </c>
      <c r="AK154" s="113">
        <f t="shared" si="52"/>
        <v>0</v>
      </c>
      <c r="AL154" s="113">
        <f t="shared" si="53"/>
        <v>0</v>
      </c>
      <c r="AM154" s="113">
        <f t="shared" si="54"/>
        <v>0</v>
      </c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</row>
    <row r="155" spans="4:72" s="59" customFormat="1" x14ac:dyDescent="0.25">
      <c r="D155" s="75" t="s">
        <v>36</v>
      </c>
      <c r="E155" s="70">
        <v>5</v>
      </c>
      <c r="F155" s="70">
        <v>-14</v>
      </c>
      <c r="G155" s="70">
        <v>10</v>
      </c>
      <c r="H155"/>
      <c r="I155" s="113">
        <f t="shared" si="24"/>
        <v>-100</v>
      </c>
      <c r="J155" s="113">
        <f t="shared" si="25"/>
        <v>0</v>
      </c>
      <c r="K155" s="113">
        <f t="shared" si="26"/>
        <v>0</v>
      </c>
      <c r="L155" s="113">
        <f t="shared" si="27"/>
        <v>0</v>
      </c>
      <c r="M155" s="113">
        <f t="shared" si="28"/>
        <v>0</v>
      </c>
      <c r="N155" s="113">
        <f t="shared" si="29"/>
        <v>0</v>
      </c>
      <c r="O155" s="113">
        <f t="shared" si="30"/>
        <v>0</v>
      </c>
      <c r="P155" s="113">
        <f t="shared" si="31"/>
        <v>0</v>
      </c>
      <c r="Q155" s="113">
        <f t="shared" si="32"/>
        <v>0</v>
      </c>
      <c r="R155" s="113">
        <f t="shared" si="33"/>
        <v>0</v>
      </c>
      <c r="S155" s="113">
        <f t="shared" si="34"/>
        <v>0</v>
      </c>
      <c r="T155" s="113">
        <f t="shared" si="35"/>
        <v>0</v>
      </c>
      <c r="U155" s="113">
        <f t="shared" si="36"/>
        <v>0</v>
      </c>
      <c r="V155" s="113">
        <f t="shared" si="37"/>
        <v>0</v>
      </c>
      <c r="W155" s="113">
        <f t="shared" si="38"/>
        <v>0</v>
      </c>
      <c r="X155" s="113">
        <f t="shared" si="39"/>
        <v>0</v>
      </c>
      <c r="Y155" s="113">
        <f t="shared" si="40"/>
        <v>0</v>
      </c>
      <c r="Z155" s="113">
        <f t="shared" si="41"/>
        <v>0</v>
      </c>
      <c r="AA155" s="113">
        <f t="shared" si="42"/>
        <v>0</v>
      </c>
      <c r="AB155" s="113">
        <f t="shared" si="43"/>
        <v>0</v>
      </c>
      <c r="AC155" s="113">
        <f t="shared" si="44"/>
        <v>0</v>
      </c>
      <c r="AD155" s="113">
        <f t="shared" si="45"/>
        <v>0</v>
      </c>
      <c r="AE155" s="113">
        <f t="shared" si="46"/>
        <v>0</v>
      </c>
      <c r="AF155" s="113">
        <f t="shared" si="47"/>
        <v>0</v>
      </c>
      <c r="AG155" s="113">
        <f t="shared" si="48"/>
        <v>0</v>
      </c>
      <c r="AH155" s="113">
        <f t="shared" si="49"/>
        <v>0</v>
      </c>
      <c r="AI155" s="113">
        <f t="shared" si="50"/>
        <v>0</v>
      </c>
      <c r="AJ155" s="113">
        <f t="shared" si="51"/>
        <v>0</v>
      </c>
      <c r="AK155" s="113">
        <f t="shared" si="52"/>
        <v>0</v>
      </c>
      <c r="AL155" s="113">
        <f t="shared" si="53"/>
        <v>0</v>
      </c>
      <c r="AM155" s="113">
        <f t="shared" si="54"/>
        <v>0</v>
      </c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</row>
    <row r="156" spans="4:72" s="59" customFormat="1" x14ac:dyDescent="0.25">
      <c r="D156" s="75" t="s">
        <v>37</v>
      </c>
      <c r="E156" s="70">
        <v>6</v>
      </c>
      <c r="F156" s="70">
        <v>-10</v>
      </c>
      <c r="G156" s="70">
        <v>10</v>
      </c>
      <c r="H156"/>
      <c r="I156" s="113">
        <f t="shared" si="24"/>
        <v>-100</v>
      </c>
      <c r="J156" s="113">
        <f t="shared" si="25"/>
        <v>0</v>
      </c>
      <c r="K156" s="113">
        <f t="shared" si="26"/>
        <v>0</v>
      </c>
      <c r="L156" s="113">
        <f t="shared" si="27"/>
        <v>0</v>
      </c>
      <c r="M156" s="113">
        <f t="shared" si="28"/>
        <v>0</v>
      </c>
      <c r="N156" s="113">
        <f t="shared" si="29"/>
        <v>0</v>
      </c>
      <c r="O156" s="113">
        <f t="shared" si="30"/>
        <v>0</v>
      </c>
      <c r="P156" s="113">
        <f t="shared" si="31"/>
        <v>0</v>
      </c>
      <c r="Q156" s="113">
        <f t="shared" si="32"/>
        <v>0</v>
      </c>
      <c r="R156" s="113">
        <f t="shared" si="33"/>
        <v>0</v>
      </c>
      <c r="S156" s="113">
        <f t="shared" si="34"/>
        <v>0</v>
      </c>
      <c r="T156" s="113">
        <f t="shared" si="35"/>
        <v>0</v>
      </c>
      <c r="U156" s="113">
        <f t="shared" si="36"/>
        <v>0</v>
      </c>
      <c r="V156" s="113">
        <f t="shared" si="37"/>
        <v>0</v>
      </c>
      <c r="W156" s="113">
        <f t="shared" si="38"/>
        <v>0</v>
      </c>
      <c r="X156" s="113">
        <f t="shared" si="39"/>
        <v>0</v>
      </c>
      <c r="Y156" s="113">
        <f t="shared" si="40"/>
        <v>0</v>
      </c>
      <c r="Z156" s="113">
        <f t="shared" si="41"/>
        <v>0</v>
      </c>
      <c r="AA156" s="113">
        <f t="shared" si="42"/>
        <v>0</v>
      </c>
      <c r="AB156" s="113">
        <f t="shared" si="43"/>
        <v>0</v>
      </c>
      <c r="AC156" s="113">
        <f t="shared" si="44"/>
        <v>0</v>
      </c>
      <c r="AD156" s="113">
        <f t="shared" si="45"/>
        <v>0</v>
      </c>
      <c r="AE156" s="113">
        <f t="shared" si="46"/>
        <v>0</v>
      </c>
      <c r="AF156" s="113">
        <f t="shared" si="47"/>
        <v>0</v>
      </c>
      <c r="AG156" s="113">
        <f t="shared" si="48"/>
        <v>0</v>
      </c>
      <c r="AH156" s="113">
        <f t="shared" si="49"/>
        <v>0</v>
      </c>
      <c r="AI156" s="113">
        <f t="shared" si="50"/>
        <v>0</v>
      </c>
      <c r="AJ156" s="113">
        <f t="shared" si="51"/>
        <v>0</v>
      </c>
      <c r="AK156" s="113">
        <f t="shared" si="52"/>
        <v>0</v>
      </c>
      <c r="AL156" s="113">
        <f t="shared" si="53"/>
        <v>0</v>
      </c>
      <c r="AM156" s="113">
        <f t="shared" si="54"/>
        <v>0</v>
      </c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</row>
    <row r="157" spans="4:72" s="59" customFormat="1" x14ac:dyDescent="0.25">
      <c r="D157" s="75" t="s">
        <v>38</v>
      </c>
      <c r="E157" s="70">
        <v>7</v>
      </c>
      <c r="F157" s="70">
        <v>10</v>
      </c>
      <c r="G157" s="70">
        <v>10</v>
      </c>
      <c r="H157"/>
      <c r="I157" s="113">
        <f t="shared" si="24"/>
        <v>-100</v>
      </c>
      <c r="J157" s="113">
        <f t="shared" si="25"/>
        <v>0</v>
      </c>
      <c r="K157" s="113">
        <f t="shared" si="26"/>
        <v>0</v>
      </c>
      <c r="L157" s="113">
        <f t="shared" si="27"/>
        <v>0</v>
      </c>
      <c r="M157" s="113">
        <f t="shared" si="28"/>
        <v>0</v>
      </c>
      <c r="N157" s="113">
        <f t="shared" si="29"/>
        <v>0</v>
      </c>
      <c r="O157" s="113">
        <f t="shared" si="30"/>
        <v>0</v>
      </c>
      <c r="P157" s="113">
        <f t="shared" si="31"/>
        <v>0</v>
      </c>
      <c r="Q157" s="113">
        <f t="shared" si="32"/>
        <v>0</v>
      </c>
      <c r="R157" s="113">
        <f t="shared" si="33"/>
        <v>0</v>
      </c>
      <c r="S157" s="113">
        <f t="shared" si="34"/>
        <v>0</v>
      </c>
      <c r="T157" s="113">
        <f t="shared" si="35"/>
        <v>0</v>
      </c>
      <c r="U157" s="113">
        <f t="shared" si="36"/>
        <v>0</v>
      </c>
      <c r="V157" s="113">
        <f t="shared" si="37"/>
        <v>0</v>
      </c>
      <c r="W157" s="113">
        <f t="shared" si="38"/>
        <v>0</v>
      </c>
      <c r="X157" s="113">
        <f t="shared" si="39"/>
        <v>0</v>
      </c>
      <c r="Y157" s="113">
        <f t="shared" si="40"/>
        <v>0</v>
      </c>
      <c r="Z157" s="113">
        <f t="shared" si="41"/>
        <v>0</v>
      </c>
      <c r="AA157" s="113">
        <f t="shared" si="42"/>
        <v>0</v>
      </c>
      <c r="AB157" s="113">
        <f t="shared" si="43"/>
        <v>0</v>
      </c>
      <c r="AC157" s="113">
        <f t="shared" si="44"/>
        <v>0</v>
      </c>
      <c r="AD157" s="113">
        <f t="shared" si="45"/>
        <v>0</v>
      </c>
      <c r="AE157" s="113">
        <f t="shared" si="46"/>
        <v>0</v>
      </c>
      <c r="AF157" s="113">
        <f t="shared" si="47"/>
        <v>0</v>
      </c>
      <c r="AG157" s="113">
        <f t="shared" si="48"/>
        <v>0</v>
      </c>
      <c r="AH157" s="113">
        <f t="shared" si="49"/>
        <v>0</v>
      </c>
      <c r="AI157" s="113">
        <f t="shared" si="50"/>
        <v>0</v>
      </c>
      <c r="AJ157" s="113">
        <f t="shared" si="51"/>
        <v>0</v>
      </c>
      <c r="AK157" s="113">
        <f t="shared" si="52"/>
        <v>0</v>
      </c>
      <c r="AL157" s="113">
        <f t="shared" si="53"/>
        <v>0</v>
      </c>
      <c r="AM157" s="113">
        <f t="shared" si="54"/>
        <v>0</v>
      </c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</row>
    <row r="158" spans="4:72" s="59" customFormat="1" x14ac:dyDescent="0.25">
      <c r="D158" s="75" t="s">
        <v>39</v>
      </c>
      <c r="E158" s="70">
        <v>8</v>
      </c>
      <c r="F158" s="70">
        <v>14</v>
      </c>
      <c r="G158" s="70">
        <v>10</v>
      </c>
      <c r="H158"/>
      <c r="I158" s="113">
        <f t="shared" si="24"/>
        <v>-100</v>
      </c>
      <c r="J158" s="113">
        <f t="shared" si="25"/>
        <v>0</v>
      </c>
      <c r="K158" s="113">
        <f t="shared" si="26"/>
        <v>0</v>
      </c>
      <c r="L158" s="113">
        <f t="shared" si="27"/>
        <v>0</v>
      </c>
      <c r="M158" s="113">
        <f t="shared" si="28"/>
        <v>0</v>
      </c>
      <c r="N158" s="113">
        <f t="shared" si="29"/>
        <v>0</v>
      </c>
      <c r="O158" s="113">
        <f t="shared" si="30"/>
        <v>0</v>
      </c>
      <c r="P158" s="113">
        <f t="shared" si="31"/>
        <v>0</v>
      </c>
      <c r="Q158" s="113">
        <f t="shared" si="32"/>
        <v>0</v>
      </c>
      <c r="R158" s="113">
        <f t="shared" si="33"/>
        <v>0</v>
      </c>
      <c r="S158" s="113">
        <f t="shared" si="34"/>
        <v>0</v>
      </c>
      <c r="T158" s="113">
        <f t="shared" si="35"/>
        <v>0</v>
      </c>
      <c r="U158" s="113">
        <f t="shared" si="36"/>
        <v>0</v>
      </c>
      <c r="V158" s="113">
        <f t="shared" si="37"/>
        <v>0</v>
      </c>
      <c r="W158" s="113">
        <f t="shared" si="38"/>
        <v>0</v>
      </c>
      <c r="X158" s="113">
        <f t="shared" si="39"/>
        <v>0</v>
      </c>
      <c r="Y158" s="113">
        <f t="shared" si="40"/>
        <v>0</v>
      </c>
      <c r="Z158" s="113">
        <f t="shared" si="41"/>
        <v>0</v>
      </c>
      <c r="AA158" s="113">
        <f t="shared" si="42"/>
        <v>0</v>
      </c>
      <c r="AB158" s="113">
        <f t="shared" si="43"/>
        <v>0</v>
      </c>
      <c r="AC158" s="113">
        <f t="shared" si="44"/>
        <v>0</v>
      </c>
      <c r="AD158" s="113">
        <f t="shared" si="45"/>
        <v>0</v>
      </c>
      <c r="AE158" s="113">
        <f t="shared" si="46"/>
        <v>0</v>
      </c>
      <c r="AF158" s="113">
        <f t="shared" si="47"/>
        <v>0</v>
      </c>
      <c r="AG158" s="113">
        <f t="shared" si="48"/>
        <v>0</v>
      </c>
      <c r="AH158" s="113">
        <f t="shared" si="49"/>
        <v>0</v>
      </c>
      <c r="AI158" s="113">
        <f t="shared" si="50"/>
        <v>0</v>
      </c>
      <c r="AJ158" s="113">
        <f t="shared" si="51"/>
        <v>0</v>
      </c>
      <c r="AK158" s="113">
        <f t="shared" si="52"/>
        <v>0</v>
      </c>
      <c r="AL158" s="113">
        <f t="shared" si="53"/>
        <v>0</v>
      </c>
      <c r="AM158" s="113">
        <f t="shared" si="54"/>
        <v>0</v>
      </c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</row>
    <row r="159" spans="4:72" s="59" customFormat="1" x14ac:dyDescent="0.25">
      <c r="D159" s="75" t="s">
        <v>40</v>
      </c>
      <c r="E159" s="70">
        <v>9</v>
      </c>
      <c r="F159" s="70">
        <v>16</v>
      </c>
      <c r="G159" s="70">
        <v>10</v>
      </c>
      <c r="H159"/>
      <c r="I159" s="113">
        <f t="shared" si="24"/>
        <v>-100</v>
      </c>
      <c r="J159" s="113">
        <f t="shared" si="25"/>
        <v>0</v>
      </c>
      <c r="K159" s="113">
        <f t="shared" si="26"/>
        <v>0</v>
      </c>
      <c r="L159" s="113">
        <f t="shared" si="27"/>
        <v>0</v>
      </c>
      <c r="M159" s="113">
        <f t="shared" si="28"/>
        <v>0</v>
      </c>
      <c r="N159" s="113">
        <f t="shared" si="29"/>
        <v>0</v>
      </c>
      <c r="O159" s="113">
        <f t="shared" si="30"/>
        <v>0</v>
      </c>
      <c r="P159" s="113">
        <f t="shared" si="31"/>
        <v>0</v>
      </c>
      <c r="Q159" s="113">
        <f t="shared" si="32"/>
        <v>0</v>
      </c>
      <c r="R159" s="113">
        <f t="shared" si="33"/>
        <v>0</v>
      </c>
      <c r="S159" s="113">
        <f t="shared" si="34"/>
        <v>0</v>
      </c>
      <c r="T159" s="113">
        <f t="shared" si="35"/>
        <v>0</v>
      </c>
      <c r="U159" s="113">
        <f t="shared" si="36"/>
        <v>0</v>
      </c>
      <c r="V159" s="113">
        <f t="shared" si="37"/>
        <v>0</v>
      </c>
      <c r="W159" s="113">
        <f t="shared" si="38"/>
        <v>0</v>
      </c>
      <c r="X159" s="113">
        <f t="shared" si="39"/>
        <v>0</v>
      </c>
      <c r="Y159" s="113">
        <f t="shared" si="40"/>
        <v>0</v>
      </c>
      <c r="Z159" s="113">
        <f t="shared" si="41"/>
        <v>0</v>
      </c>
      <c r="AA159" s="113">
        <f t="shared" si="42"/>
        <v>0</v>
      </c>
      <c r="AB159" s="113">
        <f t="shared" si="43"/>
        <v>0</v>
      </c>
      <c r="AC159" s="113">
        <f t="shared" si="44"/>
        <v>0</v>
      </c>
      <c r="AD159" s="113">
        <f t="shared" si="45"/>
        <v>0</v>
      </c>
      <c r="AE159" s="113">
        <f t="shared" si="46"/>
        <v>0</v>
      </c>
      <c r="AF159" s="113">
        <f t="shared" si="47"/>
        <v>0</v>
      </c>
      <c r="AG159" s="113">
        <f t="shared" si="48"/>
        <v>0</v>
      </c>
      <c r="AH159" s="113">
        <f t="shared" si="49"/>
        <v>0</v>
      </c>
      <c r="AI159" s="113">
        <f t="shared" si="50"/>
        <v>0</v>
      </c>
      <c r="AJ159" s="113">
        <f t="shared" si="51"/>
        <v>0</v>
      </c>
      <c r="AK159" s="113">
        <f t="shared" si="52"/>
        <v>0</v>
      </c>
      <c r="AL159" s="113">
        <f t="shared" si="53"/>
        <v>0</v>
      </c>
      <c r="AM159" s="113">
        <f t="shared" si="54"/>
        <v>0</v>
      </c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</row>
    <row r="160" spans="4:72" s="59" customFormat="1" x14ac:dyDescent="0.25">
      <c r="D160" s="75" t="s">
        <v>41</v>
      </c>
      <c r="E160" s="70">
        <v>10</v>
      </c>
      <c r="F160" s="70">
        <v>20</v>
      </c>
      <c r="G160" s="70">
        <v>10</v>
      </c>
      <c r="H160"/>
      <c r="I160" s="113">
        <f t="shared" si="24"/>
        <v>-100</v>
      </c>
      <c r="J160" s="113">
        <f t="shared" si="25"/>
        <v>0</v>
      </c>
      <c r="K160" s="113">
        <f t="shared" si="26"/>
        <v>0</v>
      </c>
      <c r="L160" s="113">
        <f t="shared" si="27"/>
        <v>0</v>
      </c>
      <c r="M160" s="113">
        <f t="shared" si="28"/>
        <v>0</v>
      </c>
      <c r="N160" s="113">
        <f t="shared" si="29"/>
        <v>0</v>
      </c>
      <c r="O160" s="113">
        <f t="shared" si="30"/>
        <v>0</v>
      </c>
      <c r="P160" s="113">
        <f t="shared" si="31"/>
        <v>0</v>
      </c>
      <c r="Q160" s="113">
        <f t="shared" si="32"/>
        <v>0</v>
      </c>
      <c r="R160" s="113">
        <f t="shared" si="33"/>
        <v>0</v>
      </c>
      <c r="S160" s="113">
        <f t="shared" si="34"/>
        <v>0</v>
      </c>
      <c r="T160" s="113">
        <f t="shared" si="35"/>
        <v>0</v>
      </c>
      <c r="U160" s="113">
        <f t="shared" si="36"/>
        <v>0</v>
      </c>
      <c r="V160" s="113">
        <f t="shared" si="37"/>
        <v>0</v>
      </c>
      <c r="W160" s="113">
        <f t="shared" si="38"/>
        <v>0</v>
      </c>
      <c r="X160" s="113">
        <f t="shared" si="39"/>
        <v>0</v>
      </c>
      <c r="Y160" s="113">
        <f t="shared" si="40"/>
        <v>0</v>
      </c>
      <c r="Z160" s="113">
        <f t="shared" si="41"/>
        <v>0</v>
      </c>
      <c r="AA160" s="113">
        <f t="shared" si="42"/>
        <v>0</v>
      </c>
      <c r="AB160" s="113">
        <f t="shared" si="43"/>
        <v>0</v>
      </c>
      <c r="AC160" s="113">
        <f t="shared" si="44"/>
        <v>0</v>
      </c>
      <c r="AD160" s="113">
        <f t="shared" si="45"/>
        <v>0</v>
      </c>
      <c r="AE160" s="113">
        <f t="shared" si="46"/>
        <v>0</v>
      </c>
      <c r="AF160" s="113">
        <f t="shared" si="47"/>
        <v>0</v>
      </c>
      <c r="AG160" s="113">
        <f t="shared" si="48"/>
        <v>0</v>
      </c>
      <c r="AH160" s="113">
        <f t="shared" si="49"/>
        <v>0</v>
      </c>
      <c r="AI160" s="113">
        <f t="shared" si="50"/>
        <v>0</v>
      </c>
      <c r="AJ160" s="113">
        <f t="shared" si="51"/>
        <v>0</v>
      </c>
      <c r="AK160" s="113">
        <f t="shared" si="52"/>
        <v>0</v>
      </c>
      <c r="AL160" s="113">
        <f t="shared" si="53"/>
        <v>0</v>
      </c>
      <c r="AM160" s="113">
        <f t="shared" si="54"/>
        <v>0</v>
      </c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</row>
    <row r="161" spans="4:72" s="59" customFormat="1" x14ac:dyDescent="0.25">
      <c r="D161" s="75" t="s">
        <v>42</v>
      </c>
      <c r="E161" s="70">
        <v>11</v>
      </c>
      <c r="F161" s="70">
        <v>22</v>
      </c>
      <c r="G161" s="70">
        <v>10</v>
      </c>
      <c r="H161"/>
      <c r="I161" s="113">
        <f t="shared" si="24"/>
        <v>-100</v>
      </c>
      <c r="J161" s="113">
        <f t="shared" si="25"/>
        <v>0</v>
      </c>
      <c r="K161" s="113">
        <f t="shared" si="26"/>
        <v>0</v>
      </c>
      <c r="L161" s="113">
        <f t="shared" si="27"/>
        <v>0</v>
      </c>
      <c r="M161" s="113">
        <f t="shared" si="28"/>
        <v>0</v>
      </c>
      <c r="N161" s="113">
        <f t="shared" si="29"/>
        <v>0</v>
      </c>
      <c r="O161" s="113">
        <f t="shared" si="30"/>
        <v>0</v>
      </c>
      <c r="P161" s="113">
        <f t="shared" si="31"/>
        <v>0</v>
      </c>
      <c r="Q161" s="113">
        <f t="shared" si="32"/>
        <v>0</v>
      </c>
      <c r="R161" s="113">
        <f t="shared" si="33"/>
        <v>0</v>
      </c>
      <c r="S161" s="113">
        <f t="shared" si="34"/>
        <v>0</v>
      </c>
      <c r="T161" s="113">
        <f t="shared" si="35"/>
        <v>0</v>
      </c>
      <c r="U161" s="113">
        <f t="shared" si="36"/>
        <v>0</v>
      </c>
      <c r="V161" s="113">
        <f t="shared" si="37"/>
        <v>0</v>
      </c>
      <c r="W161" s="113">
        <f t="shared" si="38"/>
        <v>0</v>
      </c>
      <c r="X161" s="113">
        <f t="shared" si="39"/>
        <v>0</v>
      </c>
      <c r="Y161" s="113">
        <f t="shared" si="40"/>
        <v>0</v>
      </c>
      <c r="Z161" s="113">
        <f t="shared" si="41"/>
        <v>0</v>
      </c>
      <c r="AA161" s="113">
        <f t="shared" si="42"/>
        <v>0</v>
      </c>
      <c r="AB161" s="113">
        <f t="shared" si="43"/>
        <v>0</v>
      </c>
      <c r="AC161" s="113">
        <f t="shared" si="44"/>
        <v>0</v>
      </c>
      <c r="AD161" s="113">
        <f t="shared" si="45"/>
        <v>0</v>
      </c>
      <c r="AE161" s="113">
        <f t="shared" si="46"/>
        <v>0</v>
      </c>
      <c r="AF161" s="113">
        <f t="shared" si="47"/>
        <v>0</v>
      </c>
      <c r="AG161" s="113">
        <f t="shared" si="48"/>
        <v>0</v>
      </c>
      <c r="AH161" s="113">
        <f t="shared" si="49"/>
        <v>0</v>
      </c>
      <c r="AI161" s="113">
        <f t="shared" si="50"/>
        <v>0</v>
      </c>
      <c r="AJ161" s="113">
        <f t="shared" si="51"/>
        <v>0</v>
      </c>
      <c r="AK161" s="113">
        <f t="shared" si="52"/>
        <v>0</v>
      </c>
      <c r="AL161" s="113">
        <f t="shared" si="53"/>
        <v>0</v>
      </c>
      <c r="AM161" s="113">
        <f t="shared" si="54"/>
        <v>0</v>
      </c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</row>
    <row r="162" spans="4:72" s="59" customFormat="1" x14ac:dyDescent="0.25">
      <c r="D162" s="75" t="s">
        <v>43</v>
      </c>
      <c r="E162" s="70">
        <v>12</v>
      </c>
      <c r="F162" s="70">
        <v>-22</v>
      </c>
      <c r="G162" s="70">
        <v>20</v>
      </c>
      <c r="H162"/>
      <c r="I162" s="113">
        <f t="shared" si="24"/>
        <v>-100</v>
      </c>
      <c r="J162" s="113">
        <f t="shared" si="25"/>
        <v>0</v>
      </c>
      <c r="K162" s="113">
        <f t="shared" si="26"/>
        <v>0</v>
      </c>
      <c r="L162" s="113">
        <f t="shared" si="27"/>
        <v>0</v>
      </c>
      <c r="M162" s="113">
        <f t="shared" si="28"/>
        <v>0</v>
      </c>
      <c r="N162" s="113">
        <f t="shared" si="29"/>
        <v>0</v>
      </c>
      <c r="O162" s="113">
        <f t="shared" si="30"/>
        <v>0</v>
      </c>
      <c r="P162" s="113">
        <f t="shared" si="31"/>
        <v>0</v>
      </c>
      <c r="Q162" s="113">
        <f t="shared" si="32"/>
        <v>0</v>
      </c>
      <c r="R162" s="113">
        <f t="shared" si="33"/>
        <v>0</v>
      </c>
      <c r="S162" s="113">
        <f t="shared" si="34"/>
        <v>0</v>
      </c>
      <c r="T162" s="113">
        <f t="shared" si="35"/>
        <v>0</v>
      </c>
      <c r="U162" s="113">
        <f t="shared" si="36"/>
        <v>0</v>
      </c>
      <c r="V162" s="113">
        <f t="shared" si="37"/>
        <v>0</v>
      </c>
      <c r="W162" s="113">
        <f t="shared" si="38"/>
        <v>0</v>
      </c>
      <c r="X162" s="113">
        <f t="shared" si="39"/>
        <v>0</v>
      </c>
      <c r="Y162" s="113">
        <f t="shared" si="40"/>
        <v>0</v>
      </c>
      <c r="Z162" s="113">
        <f t="shared" si="41"/>
        <v>0</v>
      </c>
      <c r="AA162" s="113">
        <f t="shared" si="42"/>
        <v>0</v>
      </c>
      <c r="AB162" s="113">
        <f t="shared" si="43"/>
        <v>0</v>
      </c>
      <c r="AC162" s="113">
        <f t="shared" si="44"/>
        <v>0</v>
      </c>
      <c r="AD162" s="113">
        <f t="shared" si="45"/>
        <v>0</v>
      </c>
      <c r="AE162" s="113">
        <f t="shared" si="46"/>
        <v>0</v>
      </c>
      <c r="AF162" s="113">
        <f t="shared" si="47"/>
        <v>0</v>
      </c>
      <c r="AG162" s="113">
        <f t="shared" si="48"/>
        <v>0</v>
      </c>
      <c r="AH162" s="113">
        <f t="shared" si="49"/>
        <v>0</v>
      </c>
      <c r="AI162" s="113">
        <f t="shared" si="50"/>
        <v>0</v>
      </c>
      <c r="AJ162" s="113">
        <f t="shared" si="51"/>
        <v>0</v>
      </c>
      <c r="AK162" s="113">
        <f t="shared" si="52"/>
        <v>0</v>
      </c>
      <c r="AL162" s="113">
        <f t="shared" si="53"/>
        <v>0</v>
      </c>
      <c r="AM162" s="113">
        <f t="shared" si="54"/>
        <v>0</v>
      </c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</row>
    <row r="163" spans="4:72" s="59" customFormat="1" x14ac:dyDescent="0.25">
      <c r="D163" s="75" t="s">
        <v>44</v>
      </c>
      <c r="E163" s="70">
        <v>13</v>
      </c>
      <c r="F163" s="70">
        <v>-20</v>
      </c>
      <c r="G163" s="70">
        <v>20</v>
      </c>
      <c r="H163"/>
      <c r="I163" s="113">
        <f t="shared" si="24"/>
        <v>-100</v>
      </c>
      <c r="J163" s="113">
        <f t="shared" si="25"/>
        <v>0</v>
      </c>
      <c r="K163" s="113">
        <f t="shared" si="26"/>
        <v>0</v>
      </c>
      <c r="L163" s="113">
        <f t="shared" si="27"/>
        <v>0</v>
      </c>
      <c r="M163" s="113">
        <f t="shared" si="28"/>
        <v>0</v>
      </c>
      <c r="N163" s="113">
        <f t="shared" si="29"/>
        <v>0</v>
      </c>
      <c r="O163" s="113">
        <f t="shared" si="30"/>
        <v>0</v>
      </c>
      <c r="P163" s="113">
        <f t="shared" si="31"/>
        <v>0</v>
      </c>
      <c r="Q163" s="113">
        <f t="shared" si="32"/>
        <v>0</v>
      </c>
      <c r="R163" s="113">
        <f t="shared" si="33"/>
        <v>0</v>
      </c>
      <c r="S163" s="113">
        <f t="shared" si="34"/>
        <v>0</v>
      </c>
      <c r="T163" s="113">
        <f t="shared" si="35"/>
        <v>0</v>
      </c>
      <c r="U163" s="113">
        <f t="shared" si="36"/>
        <v>0</v>
      </c>
      <c r="V163" s="113">
        <f t="shared" si="37"/>
        <v>0</v>
      </c>
      <c r="W163" s="113">
        <f t="shared" si="38"/>
        <v>0</v>
      </c>
      <c r="X163" s="113">
        <f t="shared" si="39"/>
        <v>0</v>
      </c>
      <c r="Y163" s="113">
        <f t="shared" si="40"/>
        <v>0</v>
      </c>
      <c r="Z163" s="113">
        <f t="shared" si="41"/>
        <v>0</v>
      </c>
      <c r="AA163" s="113">
        <f t="shared" si="42"/>
        <v>0</v>
      </c>
      <c r="AB163" s="113">
        <f t="shared" si="43"/>
        <v>0</v>
      </c>
      <c r="AC163" s="113">
        <f t="shared" si="44"/>
        <v>0</v>
      </c>
      <c r="AD163" s="113">
        <f t="shared" si="45"/>
        <v>0</v>
      </c>
      <c r="AE163" s="113">
        <f t="shared" si="46"/>
        <v>0</v>
      </c>
      <c r="AF163" s="113">
        <f t="shared" si="47"/>
        <v>0</v>
      </c>
      <c r="AG163" s="113">
        <f t="shared" si="48"/>
        <v>0</v>
      </c>
      <c r="AH163" s="113">
        <f t="shared" si="49"/>
        <v>0</v>
      </c>
      <c r="AI163" s="113">
        <f t="shared" si="50"/>
        <v>0</v>
      </c>
      <c r="AJ163" s="113">
        <f t="shared" si="51"/>
        <v>0</v>
      </c>
      <c r="AK163" s="113">
        <f t="shared" si="52"/>
        <v>0</v>
      </c>
      <c r="AL163" s="113">
        <f t="shared" si="53"/>
        <v>0</v>
      </c>
      <c r="AM163" s="113">
        <f t="shared" si="54"/>
        <v>0</v>
      </c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</row>
    <row r="164" spans="4:72" s="59" customFormat="1" x14ac:dyDescent="0.25">
      <c r="D164" s="75" t="s">
        <v>45</v>
      </c>
      <c r="E164" s="70">
        <v>14</v>
      </c>
      <c r="F164" s="70">
        <v>-16</v>
      </c>
      <c r="G164" s="70">
        <v>20</v>
      </c>
      <c r="H164"/>
      <c r="I164" s="113">
        <f t="shared" si="24"/>
        <v>-100</v>
      </c>
      <c r="J164" s="113">
        <f t="shared" si="25"/>
        <v>0</v>
      </c>
      <c r="K164" s="113">
        <f t="shared" si="26"/>
        <v>0</v>
      </c>
      <c r="L164" s="113">
        <f t="shared" si="27"/>
        <v>0</v>
      </c>
      <c r="M164" s="113">
        <f t="shared" si="28"/>
        <v>0</v>
      </c>
      <c r="N164" s="113">
        <f t="shared" si="29"/>
        <v>0</v>
      </c>
      <c r="O164" s="113">
        <f t="shared" si="30"/>
        <v>0</v>
      </c>
      <c r="P164" s="113">
        <f t="shared" si="31"/>
        <v>0</v>
      </c>
      <c r="Q164" s="113">
        <f t="shared" si="32"/>
        <v>0</v>
      </c>
      <c r="R164" s="113">
        <f t="shared" si="33"/>
        <v>0</v>
      </c>
      <c r="S164" s="113">
        <f t="shared" si="34"/>
        <v>0</v>
      </c>
      <c r="T164" s="113">
        <f t="shared" si="35"/>
        <v>0</v>
      </c>
      <c r="U164" s="113">
        <f t="shared" si="36"/>
        <v>0</v>
      </c>
      <c r="V164" s="113">
        <f t="shared" si="37"/>
        <v>0</v>
      </c>
      <c r="W164" s="113">
        <f t="shared" si="38"/>
        <v>0</v>
      </c>
      <c r="X164" s="113">
        <f t="shared" si="39"/>
        <v>0</v>
      </c>
      <c r="Y164" s="113">
        <f t="shared" si="40"/>
        <v>0</v>
      </c>
      <c r="Z164" s="113">
        <f t="shared" si="41"/>
        <v>0</v>
      </c>
      <c r="AA164" s="113">
        <f t="shared" si="42"/>
        <v>0</v>
      </c>
      <c r="AB164" s="113">
        <f t="shared" si="43"/>
        <v>0</v>
      </c>
      <c r="AC164" s="113">
        <f t="shared" si="44"/>
        <v>0</v>
      </c>
      <c r="AD164" s="113">
        <f t="shared" si="45"/>
        <v>0</v>
      </c>
      <c r="AE164" s="113">
        <f t="shared" si="46"/>
        <v>0</v>
      </c>
      <c r="AF164" s="113">
        <f t="shared" si="47"/>
        <v>0</v>
      </c>
      <c r="AG164" s="113">
        <f t="shared" si="48"/>
        <v>0</v>
      </c>
      <c r="AH164" s="113">
        <f t="shared" si="49"/>
        <v>0</v>
      </c>
      <c r="AI164" s="113">
        <f t="shared" si="50"/>
        <v>0</v>
      </c>
      <c r="AJ164" s="113">
        <f t="shared" si="51"/>
        <v>0</v>
      </c>
      <c r="AK164" s="113">
        <f t="shared" si="52"/>
        <v>0</v>
      </c>
      <c r="AL164" s="113">
        <f t="shared" si="53"/>
        <v>0</v>
      </c>
      <c r="AM164" s="113">
        <f t="shared" si="54"/>
        <v>0</v>
      </c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</row>
    <row r="165" spans="4:72" s="59" customFormat="1" x14ac:dyDescent="0.25">
      <c r="D165" s="75" t="s">
        <v>46</v>
      </c>
      <c r="E165" s="70">
        <v>15</v>
      </c>
      <c r="F165" s="70">
        <v>-14</v>
      </c>
      <c r="G165" s="70">
        <v>20</v>
      </c>
      <c r="H165"/>
      <c r="I165" s="113">
        <f t="shared" si="24"/>
        <v>-100</v>
      </c>
      <c r="J165" s="113">
        <f t="shared" si="25"/>
        <v>0</v>
      </c>
      <c r="K165" s="113">
        <f t="shared" si="26"/>
        <v>0</v>
      </c>
      <c r="L165" s="113">
        <f t="shared" si="27"/>
        <v>0</v>
      </c>
      <c r="M165" s="113">
        <f t="shared" si="28"/>
        <v>0</v>
      </c>
      <c r="N165" s="113">
        <f t="shared" si="29"/>
        <v>0</v>
      </c>
      <c r="O165" s="113">
        <f t="shared" si="30"/>
        <v>0</v>
      </c>
      <c r="P165" s="113">
        <f t="shared" si="31"/>
        <v>0</v>
      </c>
      <c r="Q165" s="113">
        <f t="shared" si="32"/>
        <v>0</v>
      </c>
      <c r="R165" s="113">
        <f t="shared" si="33"/>
        <v>0</v>
      </c>
      <c r="S165" s="113">
        <f t="shared" si="34"/>
        <v>0</v>
      </c>
      <c r="T165" s="113">
        <f t="shared" si="35"/>
        <v>0</v>
      </c>
      <c r="U165" s="113">
        <f t="shared" si="36"/>
        <v>0</v>
      </c>
      <c r="V165" s="113">
        <f t="shared" si="37"/>
        <v>0</v>
      </c>
      <c r="W165" s="113">
        <f t="shared" si="38"/>
        <v>0</v>
      </c>
      <c r="X165" s="113">
        <f t="shared" si="39"/>
        <v>0</v>
      </c>
      <c r="Y165" s="113">
        <f t="shared" si="40"/>
        <v>0</v>
      </c>
      <c r="Z165" s="113">
        <f t="shared" si="41"/>
        <v>0</v>
      </c>
      <c r="AA165" s="113">
        <f t="shared" si="42"/>
        <v>0</v>
      </c>
      <c r="AB165" s="113">
        <f t="shared" si="43"/>
        <v>0</v>
      </c>
      <c r="AC165" s="113">
        <f t="shared" si="44"/>
        <v>0</v>
      </c>
      <c r="AD165" s="113">
        <f t="shared" si="45"/>
        <v>0</v>
      </c>
      <c r="AE165" s="113">
        <f t="shared" si="46"/>
        <v>0</v>
      </c>
      <c r="AF165" s="113">
        <f t="shared" si="47"/>
        <v>0</v>
      </c>
      <c r="AG165" s="113">
        <f t="shared" si="48"/>
        <v>0</v>
      </c>
      <c r="AH165" s="113">
        <f t="shared" si="49"/>
        <v>0</v>
      </c>
      <c r="AI165" s="113">
        <f t="shared" si="50"/>
        <v>0</v>
      </c>
      <c r="AJ165" s="113">
        <f t="shared" si="51"/>
        <v>0</v>
      </c>
      <c r="AK165" s="113">
        <f t="shared" si="52"/>
        <v>0</v>
      </c>
      <c r="AL165" s="113">
        <f t="shared" si="53"/>
        <v>0</v>
      </c>
      <c r="AM165" s="113">
        <f t="shared" si="54"/>
        <v>0</v>
      </c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</row>
    <row r="166" spans="4:72" s="59" customFormat="1" x14ac:dyDescent="0.25">
      <c r="D166" s="75" t="s">
        <v>47</v>
      </c>
      <c r="E166" s="70">
        <v>16</v>
      </c>
      <c r="F166" s="70">
        <v>-10</v>
      </c>
      <c r="G166" s="70">
        <v>20</v>
      </c>
      <c r="H166"/>
      <c r="I166" s="113">
        <f t="shared" si="24"/>
        <v>-100</v>
      </c>
      <c r="J166" s="113">
        <f t="shared" si="25"/>
        <v>0</v>
      </c>
      <c r="K166" s="113">
        <f t="shared" si="26"/>
        <v>0</v>
      </c>
      <c r="L166" s="113">
        <f t="shared" si="27"/>
        <v>0</v>
      </c>
      <c r="M166" s="113">
        <f t="shared" si="28"/>
        <v>0</v>
      </c>
      <c r="N166" s="113">
        <f t="shared" si="29"/>
        <v>0</v>
      </c>
      <c r="O166" s="113">
        <f t="shared" si="30"/>
        <v>0</v>
      </c>
      <c r="P166" s="113">
        <f t="shared" si="31"/>
        <v>0</v>
      </c>
      <c r="Q166" s="113">
        <f t="shared" si="32"/>
        <v>0</v>
      </c>
      <c r="R166" s="113">
        <f t="shared" si="33"/>
        <v>0</v>
      </c>
      <c r="S166" s="113">
        <f t="shared" si="34"/>
        <v>0</v>
      </c>
      <c r="T166" s="113">
        <f t="shared" si="35"/>
        <v>0</v>
      </c>
      <c r="U166" s="113">
        <f t="shared" si="36"/>
        <v>0</v>
      </c>
      <c r="V166" s="113">
        <f t="shared" si="37"/>
        <v>0</v>
      </c>
      <c r="W166" s="113">
        <f t="shared" si="38"/>
        <v>0</v>
      </c>
      <c r="X166" s="113">
        <f t="shared" si="39"/>
        <v>0</v>
      </c>
      <c r="Y166" s="113">
        <f t="shared" si="40"/>
        <v>0</v>
      </c>
      <c r="Z166" s="113">
        <f t="shared" si="41"/>
        <v>0</v>
      </c>
      <c r="AA166" s="113">
        <f t="shared" si="42"/>
        <v>0</v>
      </c>
      <c r="AB166" s="113">
        <f t="shared" si="43"/>
        <v>0</v>
      </c>
      <c r="AC166" s="113">
        <f t="shared" si="44"/>
        <v>0</v>
      </c>
      <c r="AD166" s="113">
        <f t="shared" si="45"/>
        <v>0</v>
      </c>
      <c r="AE166" s="113">
        <f t="shared" si="46"/>
        <v>0</v>
      </c>
      <c r="AF166" s="113">
        <f t="shared" si="47"/>
        <v>0</v>
      </c>
      <c r="AG166" s="113">
        <f t="shared" si="48"/>
        <v>0</v>
      </c>
      <c r="AH166" s="113">
        <f t="shared" si="49"/>
        <v>0</v>
      </c>
      <c r="AI166" s="113">
        <f t="shared" si="50"/>
        <v>0</v>
      </c>
      <c r="AJ166" s="113">
        <f t="shared" si="51"/>
        <v>0</v>
      </c>
      <c r="AK166" s="113">
        <f t="shared" si="52"/>
        <v>0</v>
      </c>
      <c r="AL166" s="113">
        <f t="shared" si="53"/>
        <v>0</v>
      </c>
      <c r="AM166" s="113">
        <f t="shared" si="54"/>
        <v>0</v>
      </c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</row>
    <row r="167" spans="4:72" s="59" customFormat="1" x14ac:dyDescent="0.25">
      <c r="D167" s="75" t="s">
        <v>48</v>
      </c>
      <c r="E167" s="70">
        <v>17</v>
      </c>
      <c r="F167" s="70">
        <v>10</v>
      </c>
      <c r="G167" s="70">
        <v>20</v>
      </c>
      <c r="H167"/>
      <c r="I167" s="113">
        <f t="shared" si="24"/>
        <v>-100</v>
      </c>
      <c r="J167" s="113">
        <f t="shared" si="25"/>
        <v>0</v>
      </c>
      <c r="K167" s="113">
        <f t="shared" si="26"/>
        <v>0</v>
      </c>
      <c r="L167" s="113">
        <f t="shared" si="27"/>
        <v>0</v>
      </c>
      <c r="M167" s="113">
        <f t="shared" si="28"/>
        <v>0</v>
      </c>
      <c r="N167" s="113">
        <f t="shared" si="29"/>
        <v>0</v>
      </c>
      <c r="O167" s="113">
        <f t="shared" si="30"/>
        <v>0</v>
      </c>
      <c r="P167" s="113">
        <f t="shared" si="31"/>
        <v>0</v>
      </c>
      <c r="Q167" s="113">
        <f t="shared" si="32"/>
        <v>0</v>
      </c>
      <c r="R167" s="113">
        <f t="shared" si="33"/>
        <v>0</v>
      </c>
      <c r="S167" s="113">
        <f t="shared" si="34"/>
        <v>0</v>
      </c>
      <c r="T167" s="113">
        <f t="shared" si="35"/>
        <v>0</v>
      </c>
      <c r="U167" s="113">
        <f t="shared" si="36"/>
        <v>0</v>
      </c>
      <c r="V167" s="113">
        <f t="shared" si="37"/>
        <v>0</v>
      </c>
      <c r="W167" s="113">
        <f t="shared" si="38"/>
        <v>0</v>
      </c>
      <c r="X167" s="113">
        <f t="shared" si="39"/>
        <v>0</v>
      </c>
      <c r="Y167" s="113">
        <f t="shared" si="40"/>
        <v>0</v>
      </c>
      <c r="Z167" s="113">
        <f t="shared" si="41"/>
        <v>0</v>
      </c>
      <c r="AA167" s="113">
        <f t="shared" si="42"/>
        <v>0</v>
      </c>
      <c r="AB167" s="113">
        <f t="shared" si="43"/>
        <v>0</v>
      </c>
      <c r="AC167" s="113">
        <f t="shared" si="44"/>
        <v>0</v>
      </c>
      <c r="AD167" s="113">
        <f t="shared" si="45"/>
        <v>0</v>
      </c>
      <c r="AE167" s="113">
        <f t="shared" si="46"/>
        <v>0</v>
      </c>
      <c r="AF167" s="113">
        <f t="shared" si="47"/>
        <v>0</v>
      </c>
      <c r="AG167" s="113">
        <f t="shared" si="48"/>
        <v>0</v>
      </c>
      <c r="AH167" s="113">
        <f t="shared" si="49"/>
        <v>0</v>
      </c>
      <c r="AI167" s="113">
        <f t="shared" si="50"/>
        <v>0</v>
      </c>
      <c r="AJ167" s="113">
        <f t="shared" si="51"/>
        <v>0</v>
      </c>
      <c r="AK167" s="113">
        <f t="shared" si="52"/>
        <v>0</v>
      </c>
      <c r="AL167" s="113">
        <f t="shared" si="53"/>
        <v>0</v>
      </c>
      <c r="AM167" s="113">
        <f t="shared" si="54"/>
        <v>0</v>
      </c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</row>
    <row r="168" spans="4:72" s="59" customFormat="1" x14ac:dyDescent="0.25">
      <c r="D168" s="75" t="s">
        <v>49</v>
      </c>
      <c r="E168" s="70">
        <v>18</v>
      </c>
      <c r="F168" s="70">
        <v>14</v>
      </c>
      <c r="G168" s="70">
        <v>20</v>
      </c>
      <c r="H168"/>
      <c r="I168" s="113">
        <f t="shared" si="24"/>
        <v>-100</v>
      </c>
      <c r="J168" s="113">
        <f t="shared" si="25"/>
        <v>0</v>
      </c>
      <c r="K168" s="113">
        <f t="shared" si="26"/>
        <v>0</v>
      </c>
      <c r="L168" s="113">
        <f t="shared" si="27"/>
        <v>0</v>
      </c>
      <c r="M168" s="113">
        <f t="shared" si="28"/>
        <v>0</v>
      </c>
      <c r="N168" s="113">
        <f t="shared" si="29"/>
        <v>0</v>
      </c>
      <c r="O168" s="113">
        <f t="shared" si="30"/>
        <v>0</v>
      </c>
      <c r="P168" s="113">
        <f t="shared" si="31"/>
        <v>0</v>
      </c>
      <c r="Q168" s="113">
        <f t="shared" si="32"/>
        <v>0</v>
      </c>
      <c r="R168" s="113">
        <f t="shared" si="33"/>
        <v>0</v>
      </c>
      <c r="S168" s="113">
        <f t="shared" si="34"/>
        <v>0</v>
      </c>
      <c r="T168" s="113">
        <f t="shared" si="35"/>
        <v>0</v>
      </c>
      <c r="U168" s="113">
        <f t="shared" si="36"/>
        <v>0</v>
      </c>
      <c r="V168" s="113">
        <f t="shared" si="37"/>
        <v>0</v>
      </c>
      <c r="W168" s="113">
        <f t="shared" si="38"/>
        <v>0</v>
      </c>
      <c r="X168" s="113">
        <f t="shared" si="39"/>
        <v>0</v>
      </c>
      <c r="Y168" s="113">
        <f t="shared" si="40"/>
        <v>0</v>
      </c>
      <c r="Z168" s="113">
        <f t="shared" si="41"/>
        <v>0</v>
      </c>
      <c r="AA168" s="113">
        <f t="shared" si="42"/>
        <v>0</v>
      </c>
      <c r="AB168" s="113">
        <f t="shared" si="43"/>
        <v>0</v>
      </c>
      <c r="AC168" s="113">
        <f t="shared" si="44"/>
        <v>0</v>
      </c>
      <c r="AD168" s="113">
        <f t="shared" si="45"/>
        <v>0</v>
      </c>
      <c r="AE168" s="113">
        <f t="shared" si="46"/>
        <v>0</v>
      </c>
      <c r="AF168" s="113">
        <f t="shared" si="47"/>
        <v>0</v>
      </c>
      <c r="AG168" s="113">
        <f t="shared" si="48"/>
        <v>0</v>
      </c>
      <c r="AH168" s="113">
        <f t="shared" si="49"/>
        <v>0</v>
      </c>
      <c r="AI168" s="113">
        <f t="shared" si="50"/>
        <v>0</v>
      </c>
      <c r="AJ168" s="113">
        <f t="shared" si="51"/>
        <v>0</v>
      </c>
      <c r="AK168" s="113">
        <f t="shared" si="52"/>
        <v>0</v>
      </c>
      <c r="AL168" s="113">
        <f t="shared" si="53"/>
        <v>0</v>
      </c>
      <c r="AM168" s="113">
        <f t="shared" si="54"/>
        <v>0</v>
      </c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</row>
    <row r="169" spans="4:72" s="59" customFormat="1" x14ac:dyDescent="0.25">
      <c r="D169" s="75" t="s">
        <v>50</v>
      </c>
      <c r="E169" s="70">
        <v>19</v>
      </c>
      <c r="F169" s="70">
        <v>16</v>
      </c>
      <c r="G169" s="70">
        <v>20</v>
      </c>
      <c r="H169"/>
      <c r="I169" s="113">
        <f t="shared" si="24"/>
        <v>-100</v>
      </c>
      <c r="J169" s="113">
        <f t="shared" si="25"/>
        <v>0</v>
      </c>
      <c r="K169" s="113">
        <f t="shared" si="26"/>
        <v>0</v>
      </c>
      <c r="L169" s="113">
        <f t="shared" si="27"/>
        <v>0</v>
      </c>
      <c r="M169" s="113">
        <f t="shared" si="28"/>
        <v>0</v>
      </c>
      <c r="N169" s="113">
        <f t="shared" si="29"/>
        <v>0</v>
      </c>
      <c r="O169" s="113">
        <f t="shared" si="30"/>
        <v>0</v>
      </c>
      <c r="P169" s="113">
        <f t="shared" si="31"/>
        <v>0</v>
      </c>
      <c r="Q169" s="113">
        <f t="shared" si="32"/>
        <v>0</v>
      </c>
      <c r="R169" s="113">
        <f t="shared" si="33"/>
        <v>0</v>
      </c>
      <c r="S169" s="113">
        <f t="shared" si="34"/>
        <v>0</v>
      </c>
      <c r="T169" s="113">
        <f t="shared" si="35"/>
        <v>0</v>
      </c>
      <c r="U169" s="113">
        <f t="shared" si="36"/>
        <v>0</v>
      </c>
      <c r="V169" s="113">
        <f t="shared" si="37"/>
        <v>0</v>
      </c>
      <c r="W169" s="113">
        <f t="shared" si="38"/>
        <v>0</v>
      </c>
      <c r="X169" s="113">
        <f t="shared" si="39"/>
        <v>0</v>
      </c>
      <c r="Y169" s="113">
        <f t="shared" si="40"/>
        <v>0</v>
      </c>
      <c r="Z169" s="113">
        <f t="shared" si="41"/>
        <v>0</v>
      </c>
      <c r="AA169" s="113">
        <f t="shared" si="42"/>
        <v>0</v>
      </c>
      <c r="AB169" s="113">
        <f t="shared" si="43"/>
        <v>0</v>
      </c>
      <c r="AC169" s="113">
        <f t="shared" si="44"/>
        <v>0</v>
      </c>
      <c r="AD169" s="113">
        <f t="shared" si="45"/>
        <v>0</v>
      </c>
      <c r="AE169" s="113">
        <f t="shared" si="46"/>
        <v>0</v>
      </c>
      <c r="AF169" s="113">
        <f t="shared" si="47"/>
        <v>0</v>
      </c>
      <c r="AG169" s="113">
        <f t="shared" si="48"/>
        <v>0</v>
      </c>
      <c r="AH169" s="113">
        <f t="shared" si="49"/>
        <v>0</v>
      </c>
      <c r="AI169" s="113">
        <f t="shared" si="50"/>
        <v>0</v>
      </c>
      <c r="AJ169" s="113">
        <f t="shared" si="51"/>
        <v>0</v>
      </c>
      <c r="AK169" s="113">
        <f t="shared" si="52"/>
        <v>0</v>
      </c>
      <c r="AL169" s="113">
        <f t="shared" si="53"/>
        <v>0</v>
      </c>
      <c r="AM169" s="113">
        <f t="shared" si="54"/>
        <v>0</v>
      </c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</row>
    <row r="170" spans="4:72" s="59" customFormat="1" x14ac:dyDescent="0.25">
      <c r="D170" s="75" t="s">
        <v>51</v>
      </c>
      <c r="E170" s="70">
        <v>20</v>
      </c>
      <c r="F170" s="70">
        <v>20</v>
      </c>
      <c r="G170" s="70">
        <v>20</v>
      </c>
      <c r="H170"/>
      <c r="I170" s="113">
        <f t="shared" si="24"/>
        <v>-100</v>
      </c>
      <c r="J170" s="113">
        <f t="shared" si="25"/>
        <v>0</v>
      </c>
      <c r="K170" s="113">
        <f t="shared" si="26"/>
        <v>0</v>
      </c>
      <c r="L170" s="113">
        <f t="shared" si="27"/>
        <v>0</v>
      </c>
      <c r="M170" s="113">
        <f t="shared" si="28"/>
        <v>0</v>
      </c>
      <c r="N170" s="113">
        <f t="shared" si="29"/>
        <v>0</v>
      </c>
      <c r="O170" s="113">
        <f t="shared" si="30"/>
        <v>0</v>
      </c>
      <c r="P170" s="113">
        <f t="shared" si="31"/>
        <v>0</v>
      </c>
      <c r="Q170" s="113">
        <f t="shared" si="32"/>
        <v>0</v>
      </c>
      <c r="R170" s="113">
        <f t="shared" si="33"/>
        <v>0</v>
      </c>
      <c r="S170" s="113">
        <f t="shared" si="34"/>
        <v>0</v>
      </c>
      <c r="T170" s="113">
        <f t="shared" si="35"/>
        <v>0</v>
      </c>
      <c r="U170" s="113">
        <f t="shared" si="36"/>
        <v>0</v>
      </c>
      <c r="V170" s="113">
        <f t="shared" si="37"/>
        <v>0</v>
      </c>
      <c r="W170" s="113">
        <f t="shared" si="38"/>
        <v>0</v>
      </c>
      <c r="X170" s="113">
        <f t="shared" si="39"/>
        <v>0</v>
      </c>
      <c r="Y170" s="113">
        <f t="shared" si="40"/>
        <v>0</v>
      </c>
      <c r="Z170" s="113">
        <f t="shared" si="41"/>
        <v>0</v>
      </c>
      <c r="AA170" s="113">
        <f t="shared" si="42"/>
        <v>0</v>
      </c>
      <c r="AB170" s="113">
        <f t="shared" si="43"/>
        <v>0</v>
      </c>
      <c r="AC170" s="113">
        <f t="shared" si="44"/>
        <v>0</v>
      </c>
      <c r="AD170" s="113">
        <f t="shared" si="45"/>
        <v>0</v>
      </c>
      <c r="AE170" s="113">
        <f t="shared" si="46"/>
        <v>0</v>
      </c>
      <c r="AF170" s="113">
        <f t="shared" si="47"/>
        <v>0</v>
      </c>
      <c r="AG170" s="113">
        <f t="shared" si="48"/>
        <v>0</v>
      </c>
      <c r="AH170" s="113">
        <f t="shared" si="49"/>
        <v>0</v>
      </c>
      <c r="AI170" s="113">
        <f t="shared" si="50"/>
        <v>0</v>
      </c>
      <c r="AJ170" s="113">
        <f t="shared" si="51"/>
        <v>0</v>
      </c>
      <c r="AK170" s="113">
        <f t="shared" si="52"/>
        <v>0</v>
      </c>
      <c r="AL170" s="113">
        <f t="shared" si="53"/>
        <v>0</v>
      </c>
      <c r="AM170" s="113">
        <f t="shared" si="54"/>
        <v>0</v>
      </c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</row>
    <row r="171" spans="4:72" s="59" customFormat="1" x14ac:dyDescent="0.25">
      <c r="D171" s="75" t="s">
        <v>52</v>
      </c>
      <c r="E171" s="70">
        <v>21</v>
      </c>
      <c r="F171" s="70">
        <v>22</v>
      </c>
      <c r="G171" s="70">
        <v>20</v>
      </c>
      <c r="H171"/>
      <c r="I171" s="113">
        <f t="shared" si="24"/>
        <v>-100</v>
      </c>
      <c r="J171" s="113">
        <f t="shared" si="25"/>
        <v>0</v>
      </c>
      <c r="K171" s="113">
        <f t="shared" si="26"/>
        <v>0</v>
      </c>
      <c r="L171" s="113">
        <f t="shared" si="27"/>
        <v>0</v>
      </c>
      <c r="M171" s="113">
        <f t="shared" si="28"/>
        <v>0</v>
      </c>
      <c r="N171" s="113">
        <f t="shared" si="29"/>
        <v>0</v>
      </c>
      <c r="O171" s="113">
        <f t="shared" si="30"/>
        <v>0</v>
      </c>
      <c r="P171" s="113">
        <f t="shared" si="31"/>
        <v>0</v>
      </c>
      <c r="Q171" s="113">
        <f t="shared" si="32"/>
        <v>0</v>
      </c>
      <c r="R171" s="113">
        <f t="shared" si="33"/>
        <v>0</v>
      </c>
      <c r="S171" s="113">
        <f t="shared" si="34"/>
        <v>0</v>
      </c>
      <c r="T171" s="113">
        <f t="shared" si="35"/>
        <v>0</v>
      </c>
      <c r="U171" s="113">
        <f t="shared" si="36"/>
        <v>0</v>
      </c>
      <c r="V171" s="113">
        <f t="shared" si="37"/>
        <v>0</v>
      </c>
      <c r="W171" s="113">
        <f t="shared" si="38"/>
        <v>0</v>
      </c>
      <c r="X171" s="113">
        <f t="shared" si="39"/>
        <v>0</v>
      </c>
      <c r="Y171" s="113">
        <f t="shared" si="40"/>
        <v>0</v>
      </c>
      <c r="Z171" s="113">
        <f t="shared" si="41"/>
        <v>0</v>
      </c>
      <c r="AA171" s="113">
        <f t="shared" si="42"/>
        <v>0</v>
      </c>
      <c r="AB171" s="113">
        <f t="shared" si="43"/>
        <v>0</v>
      </c>
      <c r="AC171" s="113">
        <f t="shared" si="44"/>
        <v>0</v>
      </c>
      <c r="AD171" s="113">
        <f t="shared" si="45"/>
        <v>0</v>
      </c>
      <c r="AE171" s="113">
        <f t="shared" si="46"/>
        <v>0</v>
      </c>
      <c r="AF171" s="113">
        <f t="shared" si="47"/>
        <v>0</v>
      </c>
      <c r="AG171" s="113">
        <f t="shared" si="48"/>
        <v>0</v>
      </c>
      <c r="AH171" s="113">
        <f t="shared" si="49"/>
        <v>0</v>
      </c>
      <c r="AI171" s="113">
        <f t="shared" si="50"/>
        <v>0</v>
      </c>
      <c r="AJ171" s="113">
        <f t="shared" si="51"/>
        <v>0</v>
      </c>
      <c r="AK171" s="113">
        <f t="shared" si="52"/>
        <v>0</v>
      </c>
      <c r="AL171" s="113">
        <f t="shared" si="53"/>
        <v>0</v>
      </c>
      <c r="AM171" s="113">
        <f t="shared" si="54"/>
        <v>0</v>
      </c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</row>
    <row r="172" spans="4:72" s="59" customFormat="1" x14ac:dyDescent="0.25">
      <c r="D172" s="75" t="s">
        <v>53</v>
      </c>
      <c r="E172" s="70">
        <v>22</v>
      </c>
      <c r="F172" s="70">
        <v>-22</v>
      </c>
      <c r="G172" s="70">
        <v>30</v>
      </c>
      <c r="H172"/>
      <c r="I172" s="113">
        <f t="shared" si="24"/>
        <v>-100</v>
      </c>
      <c r="J172" s="113">
        <f t="shared" si="25"/>
        <v>0</v>
      </c>
      <c r="K172" s="113">
        <f t="shared" si="26"/>
        <v>0</v>
      </c>
      <c r="L172" s="113">
        <f t="shared" si="27"/>
        <v>0</v>
      </c>
      <c r="M172" s="113">
        <f t="shared" si="28"/>
        <v>0</v>
      </c>
      <c r="N172" s="113">
        <f t="shared" si="29"/>
        <v>0</v>
      </c>
      <c r="O172" s="113">
        <f t="shared" si="30"/>
        <v>0</v>
      </c>
      <c r="P172" s="113">
        <f t="shared" si="31"/>
        <v>0</v>
      </c>
      <c r="Q172" s="113">
        <f t="shared" si="32"/>
        <v>0</v>
      </c>
      <c r="R172" s="113">
        <f t="shared" si="33"/>
        <v>0</v>
      </c>
      <c r="S172" s="113">
        <f t="shared" si="34"/>
        <v>0</v>
      </c>
      <c r="T172" s="113">
        <f t="shared" si="35"/>
        <v>0</v>
      </c>
      <c r="U172" s="113">
        <f t="shared" si="36"/>
        <v>0</v>
      </c>
      <c r="V172" s="113">
        <f t="shared" si="37"/>
        <v>0</v>
      </c>
      <c r="W172" s="113">
        <f t="shared" si="38"/>
        <v>0</v>
      </c>
      <c r="X172" s="113">
        <f t="shared" si="39"/>
        <v>0</v>
      </c>
      <c r="Y172" s="113">
        <f t="shared" si="40"/>
        <v>0</v>
      </c>
      <c r="Z172" s="113">
        <f t="shared" si="41"/>
        <v>0</v>
      </c>
      <c r="AA172" s="113">
        <f t="shared" si="42"/>
        <v>0</v>
      </c>
      <c r="AB172" s="113">
        <f t="shared" si="43"/>
        <v>0</v>
      </c>
      <c r="AC172" s="113">
        <f t="shared" si="44"/>
        <v>0</v>
      </c>
      <c r="AD172" s="113">
        <f t="shared" si="45"/>
        <v>0</v>
      </c>
      <c r="AE172" s="113">
        <f t="shared" si="46"/>
        <v>0</v>
      </c>
      <c r="AF172" s="113">
        <f t="shared" si="47"/>
        <v>0</v>
      </c>
      <c r="AG172" s="113">
        <f t="shared" si="48"/>
        <v>0</v>
      </c>
      <c r="AH172" s="113">
        <f t="shared" si="49"/>
        <v>0</v>
      </c>
      <c r="AI172" s="113">
        <f t="shared" si="50"/>
        <v>0</v>
      </c>
      <c r="AJ172" s="113">
        <f t="shared" si="51"/>
        <v>0</v>
      </c>
      <c r="AK172" s="113">
        <f t="shared" si="52"/>
        <v>0</v>
      </c>
      <c r="AL172" s="113">
        <f t="shared" si="53"/>
        <v>0</v>
      </c>
      <c r="AM172" s="113">
        <f t="shared" si="54"/>
        <v>0</v>
      </c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</row>
    <row r="173" spans="4:72" s="59" customFormat="1" x14ac:dyDescent="0.25">
      <c r="D173" s="75" t="s">
        <v>54</v>
      </c>
      <c r="E173" s="70">
        <v>23</v>
      </c>
      <c r="F173" s="70">
        <v>-20</v>
      </c>
      <c r="G173" s="70">
        <v>30</v>
      </c>
      <c r="H173"/>
      <c r="I173" s="113">
        <f t="shared" si="24"/>
        <v>-100</v>
      </c>
      <c r="J173" s="113">
        <f t="shared" si="25"/>
        <v>0</v>
      </c>
      <c r="K173" s="113">
        <f t="shared" si="26"/>
        <v>0</v>
      </c>
      <c r="L173" s="113">
        <f t="shared" si="27"/>
        <v>0</v>
      </c>
      <c r="M173" s="113">
        <f t="shared" si="28"/>
        <v>0</v>
      </c>
      <c r="N173" s="113">
        <f t="shared" si="29"/>
        <v>0</v>
      </c>
      <c r="O173" s="113">
        <f t="shared" si="30"/>
        <v>0</v>
      </c>
      <c r="P173" s="113">
        <f t="shared" si="31"/>
        <v>0</v>
      </c>
      <c r="Q173" s="113">
        <f t="shared" si="32"/>
        <v>0</v>
      </c>
      <c r="R173" s="113">
        <f t="shared" si="33"/>
        <v>0</v>
      </c>
      <c r="S173" s="113">
        <f t="shared" si="34"/>
        <v>0</v>
      </c>
      <c r="T173" s="113">
        <f t="shared" si="35"/>
        <v>0</v>
      </c>
      <c r="U173" s="113">
        <f t="shared" si="36"/>
        <v>0</v>
      </c>
      <c r="V173" s="113">
        <f t="shared" si="37"/>
        <v>0</v>
      </c>
      <c r="W173" s="113">
        <f t="shared" si="38"/>
        <v>0</v>
      </c>
      <c r="X173" s="113">
        <f t="shared" si="39"/>
        <v>0</v>
      </c>
      <c r="Y173" s="113">
        <f t="shared" si="40"/>
        <v>0</v>
      </c>
      <c r="Z173" s="113">
        <f t="shared" si="41"/>
        <v>0</v>
      </c>
      <c r="AA173" s="113">
        <f t="shared" si="42"/>
        <v>0</v>
      </c>
      <c r="AB173" s="113">
        <f t="shared" si="43"/>
        <v>0</v>
      </c>
      <c r="AC173" s="113">
        <f t="shared" si="44"/>
        <v>0</v>
      </c>
      <c r="AD173" s="113">
        <f t="shared" si="45"/>
        <v>0</v>
      </c>
      <c r="AE173" s="113">
        <f t="shared" si="46"/>
        <v>0</v>
      </c>
      <c r="AF173" s="113">
        <f t="shared" si="47"/>
        <v>0</v>
      </c>
      <c r="AG173" s="113">
        <f t="shared" si="48"/>
        <v>0</v>
      </c>
      <c r="AH173" s="113">
        <f t="shared" si="49"/>
        <v>0</v>
      </c>
      <c r="AI173" s="113">
        <f t="shared" si="50"/>
        <v>0</v>
      </c>
      <c r="AJ173" s="113">
        <f t="shared" si="51"/>
        <v>0</v>
      </c>
      <c r="AK173" s="113">
        <f t="shared" si="52"/>
        <v>0</v>
      </c>
      <c r="AL173" s="113">
        <f t="shared" si="53"/>
        <v>0</v>
      </c>
      <c r="AM173" s="113">
        <f t="shared" si="54"/>
        <v>0</v>
      </c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</row>
    <row r="174" spans="4:72" s="59" customFormat="1" x14ac:dyDescent="0.25">
      <c r="D174" s="75" t="s">
        <v>55</v>
      </c>
      <c r="E174" s="70">
        <v>24</v>
      </c>
      <c r="F174" s="70">
        <v>-16</v>
      </c>
      <c r="G174" s="70">
        <v>30</v>
      </c>
      <c r="H174"/>
      <c r="I174" s="113">
        <f t="shared" si="24"/>
        <v>-100</v>
      </c>
      <c r="J174" s="113">
        <f t="shared" si="25"/>
        <v>0</v>
      </c>
      <c r="K174" s="113">
        <f t="shared" si="26"/>
        <v>0</v>
      </c>
      <c r="L174" s="113">
        <f t="shared" si="27"/>
        <v>0</v>
      </c>
      <c r="M174" s="113">
        <f t="shared" si="28"/>
        <v>0</v>
      </c>
      <c r="N174" s="113">
        <f t="shared" si="29"/>
        <v>0</v>
      </c>
      <c r="O174" s="113">
        <f t="shared" si="30"/>
        <v>0</v>
      </c>
      <c r="P174" s="113">
        <f t="shared" si="31"/>
        <v>0</v>
      </c>
      <c r="Q174" s="113">
        <f t="shared" si="32"/>
        <v>0</v>
      </c>
      <c r="R174" s="113">
        <f t="shared" si="33"/>
        <v>0</v>
      </c>
      <c r="S174" s="113">
        <f t="shared" si="34"/>
        <v>0</v>
      </c>
      <c r="T174" s="113">
        <f t="shared" si="35"/>
        <v>0</v>
      </c>
      <c r="U174" s="113">
        <f t="shared" si="36"/>
        <v>0</v>
      </c>
      <c r="V174" s="113">
        <f t="shared" si="37"/>
        <v>0</v>
      </c>
      <c r="W174" s="113">
        <f t="shared" si="38"/>
        <v>0</v>
      </c>
      <c r="X174" s="113">
        <f t="shared" si="39"/>
        <v>0</v>
      </c>
      <c r="Y174" s="113">
        <f t="shared" si="40"/>
        <v>0</v>
      </c>
      <c r="Z174" s="113">
        <f t="shared" si="41"/>
        <v>0</v>
      </c>
      <c r="AA174" s="113">
        <f t="shared" si="42"/>
        <v>0</v>
      </c>
      <c r="AB174" s="113">
        <f t="shared" si="43"/>
        <v>0</v>
      </c>
      <c r="AC174" s="113">
        <f t="shared" si="44"/>
        <v>0</v>
      </c>
      <c r="AD174" s="113">
        <f t="shared" si="45"/>
        <v>0</v>
      </c>
      <c r="AE174" s="113">
        <f t="shared" si="46"/>
        <v>0</v>
      </c>
      <c r="AF174" s="113">
        <f t="shared" si="47"/>
        <v>0</v>
      </c>
      <c r="AG174" s="113">
        <f t="shared" si="48"/>
        <v>0</v>
      </c>
      <c r="AH174" s="113">
        <f t="shared" si="49"/>
        <v>0</v>
      </c>
      <c r="AI174" s="113">
        <f t="shared" si="50"/>
        <v>0</v>
      </c>
      <c r="AJ174" s="113">
        <f t="shared" si="51"/>
        <v>0</v>
      </c>
      <c r="AK174" s="113">
        <f t="shared" si="52"/>
        <v>0</v>
      </c>
      <c r="AL174" s="113">
        <f t="shared" si="53"/>
        <v>0</v>
      </c>
      <c r="AM174" s="113">
        <f t="shared" si="54"/>
        <v>0</v>
      </c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</row>
    <row r="175" spans="4:72" s="59" customFormat="1" x14ac:dyDescent="0.25">
      <c r="D175" s="75" t="s">
        <v>56</v>
      </c>
      <c r="E175" s="70">
        <v>25</v>
      </c>
      <c r="F175" s="70">
        <v>-14</v>
      </c>
      <c r="G175" s="70">
        <v>30</v>
      </c>
      <c r="H175"/>
      <c r="I175" s="113">
        <f t="shared" si="24"/>
        <v>-100</v>
      </c>
      <c r="J175" s="113">
        <f t="shared" si="25"/>
        <v>0</v>
      </c>
      <c r="K175" s="113">
        <f t="shared" si="26"/>
        <v>0</v>
      </c>
      <c r="L175" s="113">
        <f t="shared" si="27"/>
        <v>0</v>
      </c>
      <c r="M175" s="113">
        <f t="shared" si="28"/>
        <v>0</v>
      </c>
      <c r="N175" s="113">
        <f t="shared" si="29"/>
        <v>0</v>
      </c>
      <c r="O175" s="113">
        <f t="shared" si="30"/>
        <v>0</v>
      </c>
      <c r="P175" s="113">
        <f t="shared" si="31"/>
        <v>0</v>
      </c>
      <c r="Q175" s="113">
        <f t="shared" si="32"/>
        <v>0</v>
      </c>
      <c r="R175" s="113">
        <f t="shared" si="33"/>
        <v>0</v>
      </c>
      <c r="S175" s="113">
        <f t="shared" si="34"/>
        <v>0</v>
      </c>
      <c r="T175" s="113">
        <f t="shared" si="35"/>
        <v>0</v>
      </c>
      <c r="U175" s="113">
        <f t="shared" si="36"/>
        <v>0</v>
      </c>
      <c r="V175" s="113">
        <f t="shared" si="37"/>
        <v>0</v>
      </c>
      <c r="W175" s="113">
        <f t="shared" si="38"/>
        <v>0</v>
      </c>
      <c r="X175" s="113">
        <f t="shared" si="39"/>
        <v>0</v>
      </c>
      <c r="Y175" s="113">
        <f t="shared" si="40"/>
        <v>0</v>
      </c>
      <c r="Z175" s="113">
        <f t="shared" si="41"/>
        <v>0</v>
      </c>
      <c r="AA175" s="113">
        <f t="shared" si="42"/>
        <v>0</v>
      </c>
      <c r="AB175" s="113">
        <f t="shared" si="43"/>
        <v>0</v>
      </c>
      <c r="AC175" s="113">
        <f t="shared" si="44"/>
        <v>0</v>
      </c>
      <c r="AD175" s="113">
        <f t="shared" si="45"/>
        <v>0</v>
      </c>
      <c r="AE175" s="113">
        <f t="shared" si="46"/>
        <v>0</v>
      </c>
      <c r="AF175" s="113">
        <f t="shared" si="47"/>
        <v>0</v>
      </c>
      <c r="AG175" s="113">
        <f t="shared" si="48"/>
        <v>0</v>
      </c>
      <c r="AH175" s="113">
        <f t="shared" si="49"/>
        <v>0</v>
      </c>
      <c r="AI175" s="113">
        <f t="shared" si="50"/>
        <v>0</v>
      </c>
      <c r="AJ175" s="113">
        <f t="shared" si="51"/>
        <v>0</v>
      </c>
      <c r="AK175" s="113">
        <f t="shared" si="52"/>
        <v>0</v>
      </c>
      <c r="AL175" s="113">
        <f t="shared" si="53"/>
        <v>0</v>
      </c>
      <c r="AM175" s="113">
        <f t="shared" si="54"/>
        <v>0</v>
      </c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</row>
    <row r="176" spans="4:72" s="59" customFormat="1" x14ac:dyDescent="0.25">
      <c r="D176" s="75" t="s">
        <v>57</v>
      </c>
      <c r="E176" s="70">
        <v>26</v>
      </c>
      <c r="F176" s="70">
        <v>-10</v>
      </c>
      <c r="G176" s="70">
        <v>30</v>
      </c>
      <c r="H176"/>
      <c r="I176" s="113">
        <f t="shared" si="24"/>
        <v>-100</v>
      </c>
      <c r="J176" s="113">
        <f t="shared" si="25"/>
        <v>0</v>
      </c>
      <c r="K176" s="113">
        <f t="shared" si="26"/>
        <v>0</v>
      </c>
      <c r="L176" s="113">
        <f t="shared" si="27"/>
        <v>0</v>
      </c>
      <c r="M176" s="113">
        <f t="shared" si="28"/>
        <v>0</v>
      </c>
      <c r="N176" s="113">
        <f t="shared" si="29"/>
        <v>0</v>
      </c>
      <c r="O176" s="113">
        <f t="shared" si="30"/>
        <v>0</v>
      </c>
      <c r="P176" s="113">
        <f t="shared" si="31"/>
        <v>0</v>
      </c>
      <c r="Q176" s="113">
        <f t="shared" si="32"/>
        <v>0</v>
      </c>
      <c r="R176" s="113">
        <f t="shared" si="33"/>
        <v>0</v>
      </c>
      <c r="S176" s="113">
        <f t="shared" si="34"/>
        <v>0</v>
      </c>
      <c r="T176" s="113">
        <f t="shared" si="35"/>
        <v>0</v>
      </c>
      <c r="U176" s="113">
        <f t="shared" si="36"/>
        <v>0</v>
      </c>
      <c r="V176" s="113">
        <f t="shared" si="37"/>
        <v>0</v>
      </c>
      <c r="W176" s="113">
        <f t="shared" si="38"/>
        <v>0</v>
      </c>
      <c r="X176" s="113">
        <f t="shared" si="39"/>
        <v>0</v>
      </c>
      <c r="Y176" s="113">
        <f t="shared" si="40"/>
        <v>0</v>
      </c>
      <c r="Z176" s="113">
        <f t="shared" si="41"/>
        <v>0</v>
      </c>
      <c r="AA176" s="113">
        <f t="shared" si="42"/>
        <v>0</v>
      </c>
      <c r="AB176" s="113">
        <f t="shared" si="43"/>
        <v>0</v>
      </c>
      <c r="AC176" s="113">
        <f t="shared" si="44"/>
        <v>0</v>
      </c>
      <c r="AD176" s="113">
        <f t="shared" si="45"/>
        <v>0</v>
      </c>
      <c r="AE176" s="113">
        <f t="shared" si="46"/>
        <v>0</v>
      </c>
      <c r="AF176" s="113">
        <f t="shared" si="47"/>
        <v>0</v>
      </c>
      <c r="AG176" s="113">
        <f t="shared" si="48"/>
        <v>0</v>
      </c>
      <c r="AH176" s="113">
        <f t="shared" si="49"/>
        <v>0</v>
      </c>
      <c r="AI176" s="113">
        <f t="shared" si="50"/>
        <v>0</v>
      </c>
      <c r="AJ176" s="113">
        <f t="shared" si="51"/>
        <v>0</v>
      </c>
      <c r="AK176" s="113">
        <f t="shared" si="52"/>
        <v>0</v>
      </c>
      <c r="AL176" s="113">
        <f t="shared" si="53"/>
        <v>0</v>
      </c>
      <c r="AM176" s="113">
        <f t="shared" si="54"/>
        <v>0</v>
      </c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</row>
    <row r="177" spans="4:72" s="59" customFormat="1" x14ac:dyDescent="0.25">
      <c r="D177" s="75" t="s">
        <v>58</v>
      </c>
      <c r="E177" s="70">
        <v>27</v>
      </c>
      <c r="F177" s="70">
        <v>20</v>
      </c>
      <c r="G177" s="70">
        <v>30</v>
      </c>
      <c r="H177"/>
      <c r="I177" s="113">
        <f t="shared" si="24"/>
        <v>-100</v>
      </c>
      <c r="J177" s="113">
        <f t="shared" si="25"/>
        <v>0</v>
      </c>
      <c r="K177" s="113">
        <f t="shared" si="26"/>
        <v>0</v>
      </c>
      <c r="L177" s="113">
        <f t="shared" si="27"/>
        <v>0</v>
      </c>
      <c r="M177" s="113">
        <f t="shared" si="28"/>
        <v>0</v>
      </c>
      <c r="N177" s="113">
        <f t="shared" si="29"/>
        <v>0</v>
      </c>
      <c r="O177" s="113">
        <f t="shared" si="30"/>
        <v>0</v>
      </c>
      <c r="P177" s="113">
        <f t="shared" si="31"/>
        <v>0</v>
      </c>
      <c r="Q177" s="113">
        <f t="shared" si="32"/>
        <v>0</v>
      </c>
      <c r="R177" s="113">
        <f t="shared" si="33"/>
        <v>0</v>
      </c>
      <c r="S177" s="113">
        <f t="shared" si="34"/>
        <v>0</v>
      </c>
      <c r="T177" s="113">
        <f t="shared" si="35"/>
        <v>0</v>
      </c>
      <c r="U177" s="113">
        <f t="shared" si="36"/>
        <v>0</v>
      </c>
      <c r="V177" s="113">
        <f t="shared" si="37"/>
        <v>0</v>
      </c>
      <c r="W177" s="113">
        <f t="shared" si="38"/>
        <v>0</v>
      </c>
      <c r="X177" s="113">
        <f t="shared" si="39"/>
        <v>0</v>
      </c>
      <c r="Y177" s="113">
        <f t="shared" si="40"/>
        <v>0</v>
      </c>
      <c r="Z177" s="113">
        <f t="shared" si="41"/>
        <v>0</v>
      </c>
      <c r="AA177" s="113">
        <f t="shared" si="42"/>
        <v>0</v>
      </c>
      <c r="AB177" s="113">
        <f t="shared" si="43"/>
        <v>0</v>
      </c>
      <c r="AC177" s="113">
        <f t="shared" si="44"/>
        <v>0</v>
      </c>
      <c r="AD177" s="113">
        <f t="shared" si="45"/>
        <v>0</v>
      </c>
      <c r="AE177" s="113">
        <f t="shared" si="46"/>
        <v>0</v>
      </c>
      <c r="AF177" s="113">
        <f t="shared" si="47"/>
        <v>0</v>
      </c>
      <c r="AG177" s="113">
        <f t="shared" si="48"/>
        <v>0</v>
      </c>
      <c r="AH177" s="113">
        <f t="shared" si="49"/>
        <v>0</v>
      </c>
      <c r="AI177" s="113">
        <f t="shared" si="50"/>
        <v>0</v>
      </c>
      <c r="AJ177" s="113">
        <f t="shared" si="51"/>
        <v>0</v>
      </c>
      <c r="AK177" s="113">
        <f t="shared" si="52"/>
        <v>0</v>
      </c>
      <c r="AL177" s="113">
        <f t="shared" si="53"/>
        <v>0</v>
      </c>
      <c r="AM177" s="113">
        <f t="shared" si="54"/>
        <v>0</v>
      </c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</row>
    <row r="178" spans="4:72" s="59" customFormat="1" x14ac:dyDescent="0.25">
      <c r="D178" s="75" t="s">
        <v>59</v>
      </c>
      <c r="E178" s="70">
        <v>28</v>
      </c>
      <c r="F178" s="70">
        <v>14</v>
      </c>
      <c r="G178" s="70">
        <v>30</v>
      </c>
      <c r="H178"/>
      <c r="I178" s="113">
        <f t="shared" si="24"/>
        <v>-100</v>
      </c>
      <c r="J178" s="113">
        <f t="shared" si="25"/>
        <v>0</v>
      </c>
      <c r="K178" s="113">
        <f t="shared" si="26"/>
        <v>0</v>
      </c>
      <c r="L178" s="113">
        <f t="shared" si="27"/>
        <v>0</v>
      </c>
      <c r="M178" s="113">
        <f t="shared" si="28"/>
        <v>0</v>
      </c>
      <c r="N178" s="113">
        <f t="shared" si="29"/>
        <v>0</v>
      </c>
      <c r="O178" s="113">
        <f t="shared" si="30"/>
        <v>0</v>
      </c>
      <c r="P178" s="113">
        <f t="shared" si="31"/>
        <v>0</v>
      </c>
      <c r="Q178" s="113">
        <f t="shared" si="32"/>
        <v>0</v>
      </c>
      <c r="R178" s="113">
        <f t="shared" si="33"/>
        <v>0</v>
      </c>
      <c r="S178" s="113">
        <f t="shared" si="34"/>
        <v>0</v>
      </c>
      <c r="T178" s="113">
        <f t="shared" si="35"/>
        <v>0</v>
      </c>
      <c r="U178" s="113">
        <f t="shared" si="36"/>
        <v>0</v>
      </c>
      <c r="V178" s="113">
        <f t="shared" si="37"/>
        <v>0</v>
      </c>
      <c r="W178" s="113">
        <f t="shared" si="38"/>
        <v>0</v>
      </c>
      <c r="X178" s="113">
        <f t="shared" si="39"/>
        <v>0</v>
      </c>
      <c r="Y178" s="113">
        <f t="shared" si="40"/>
        <v>0</v>
      </c>
      <c r="Z178" s="113">
        <f t="shared" si="41"/>
        <v>0</v>
      </c>
      <c r="AA178" s="113">
        <f t="shared" si="42"/>
        <v>0</v>
      </c>
      <c r="AB178" s="113">
        <f t="shared" si="43"/>
        <v>0</v>
      </c>
      <c r="AC178" s="113">
        <f t="shared" si="44"/>
        <v>0</v>
      </c>
      <c r="AD178" s="113">
        <f t="shared" si="45"/>
        <v>0</v>
      </c>
      <c r="AE178" s="113">
        <f t="shared" si="46"/>
        <v>0</v>
      </c>
      <c r="AF178" s="113">
        <f t="shared" si="47"/>
        <v>0</v>
      </c>
      <c r="AG178" s="113">
        <f t="shared" si="48"/>
        <v>0</v>
      </c>
      <c r="AH178" s="113">
        <f t="shared" si="49"/>
        <v>0</v>
      </c>
      <c r="AI178" s="113">
        <f t="shared" si="50"/>
        <v>0</v>
      </c>
      <c r="AJ178" s="113">
        <f t="shared" si="51"/>
        <v>0</v>
      </c>
      <c r="AK178" s="113">
        <f t="shared" si="52"/>
        <v>0</v>
      </c>
      <c r="AL178" s="113">
        <f t="shared" si="53"/>
        <v>0</v>
      </c>
      <c r="AM178" s="113">
        <f t="shared" si="54"/>
        <v>0</v>
      </c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</row>
    <row r="179" spans="4:72" s="59" customFormat="1" x14ac:dyDescent="0.25">
      <c r="D179" s="75" t="s">
        <v>60</v>
      </c>
      <c r="E179" s="70">
        <v>29</v>
      </c>
      <c r="F179" s="70">
        <v>16</v>
      </c>
      <c r="G179" s="70">
        <v>30</v>
      </c>
      <c r="H179"/>
      <c r="I179" s="113">
        <f t="shared" si="24"/>
        <v>-100</v>
      </c>
      <c r="J179" s="113">
        <f t="shared" si="25"/>
        <v>0</v>
      </c>
      <c r="K179" s="113">
        <f t="shared" si="26"/>
        <v>0</v>
      </c>
      <c r="L179" s="113">
        <f t="shared" si="27"/>
        <v>0</v>
      </c>
      <c r="M179" s="113">
        <f t="shared" si="28"/>
        <v>0</v>
      </c>
      <c r="N179" s="113">
        <f t="shared" si="29"/>
        <v>0</v>
      </c>
      <c r="O179" s="113">
        <f t="shared" si="30"/>
        <v>0</v>
      </c>
      <c r="P179" s="113">
        <f t="shared" si="31"/>
        <v>0</v>
      </c>
      <c r="Q179" s="113">
        <f t="shared" si="32"/>
        <v>0</v>
      </c>
      <c r="R179" s="113">
        <f t="shared" si="33"/>
        <v>0</v>
      </c>
      <c r="S179" s="113">
        <f t="shared" si="34"/>
        <v>0</v>
      </c>
      <c r="T179" s="113">
        <f t="shared" si="35"/>
        <v>0</v>
      </c>
      <c r="U179" s="113">
        <f t="shared" si="36"/>
        <v>0</v>
      </c>
      <c r="V179" s="113">
        <f t="shared" si="37"/>
        <v>0</v>
      </c>
      <c r="W179" s="113">
        <f t="shared" si="38"/>
        <v>0</v>
      </c>
      <c r="X179" s="113">
        <f t="shared" si="39"/>
        <v>0</v>
      </c>
      <c r="Y179" s="113">
        <f t="shared" si="40"/>
        <v>0</v>
      </c>
      <c r="Z179" s="113">
        <f t="shared" si="41"/>
        <v>0</v>
      </c>
      <c r="AA179" s="113">
        <f t="shared" si="42"/>
        <v>0</v>
      </c>
      <c r="AB179" s="113">
        <f t="shared" si="43"/>
        <v>0</v>
      </c>
      <c r="AC179" s="113">
        <f t="shared" si="44"/>
        <v>0</v>
      </c>
      <c r="AD179" s="113">
        <f t="shared" si="45"/>
        <v>0</v>
      </c>
      <c r="AE179" s="113">
        <f t="shared" si="46"/>
        <v>0</v>
      </c>
      <c r="AF179" s="113">
        <f t="shared" si="47"/>
        <v>0</v>
      </c>
      <c r="AG179" s="113">
        <f t="shared" si="48"/>
        <v>0</v>
      </c>
      <c r="AH179" s="113">
        <f t="shared" si="49"/>
        <v>0</v>
      </c>
      <c r="AI179" s="113">
        <f t="shared" si="50"/>
        <v>0</v>
      </c>
      <c r="AJ179" s="113">
        <f t="shared" si="51"/>
        <v>0</v>
      </c>
      <c r="AK179" s="113">
        <f t="shared" si="52"/>
        <v>0</v>
      </c>
      <c r="AL179" s="113">
        <f t="shared" si="53"/>
        <v>0</v>
      </c>
      <c r="AM179" s="113">
        <f t="shared" si="54"/>
        <v>0</v>
      </c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</row>
    <row r="180" spans="4:72" s="59" customFormat="1" x14ac:dyDescent="0.25">
      <c r="D180" s="75" t="s">
        <v>61</v>
      </c>
      <c r="E180" s="70">
        <v>30</v>
      </c>
      <c r="F180" s="70">
        <v>20</v>
      </c>
      <c r="G180" s="70">
        <v>30</v>
      </c>
      <c r="H180"/>
      <c r="I180" s="113">
        <f t="shared" si="24"/>
        <v>-100</v>
      </c>
      <c r="J180" s="113">
        <f t="shared" si="25"/>
        <v>0</v>
      </c>
      <c r="K180" s="113">
        <f t="shared" si="26"/>
        <v>0</v>
      </c>
      <c r="L180" s="113">
        <f t="shared" si="27"/>
        <v>0</v>
      </c>
      <c r="M180" s="113">
        <f t="shared" si="28"/>
        <v>0</v>
      </c>
      <c r="N180" s="113">
        <f t="shared" si="29"/>
        <v>0</v>
      </c>
      <c r="O180" s="113">
        <f t="shared" si="30"/>
        <v>0</v>
      </c>
      <c r="P180" s="113">
        <f t="shared" si="31"/>
        <v>0</v>
      </c>
      <c r="Q180" s="113">
        <f t="shared" si="32"/>
        <v>0</v>
      </c>
      <c r="R180" s="113">
        <f t="shared" si="33"/>
        <v>0</v>
      </c>
      <c r="S180" s="113">
        <f t="shared" si="34"/>
        <v>0</v>
      </c>
      <c r="T180" s="113">
        <f t="shared" si="35"/>
        <v>0</v>
      </c>
      <c r="U180" s="113">
        <f t="shared" si="36"/>
        <v>0</v>
      </c>
      <c r="V180" s="113">
        <f t="shared" si="37"/>
        <v>0</v>
      </c>
      <c r="W180" s="113">
        <f t="shared" si="38"/>
        <v>0</v>
      </c>
      <c r="X180" s="113">
        <f t="shared" si="39"/>
        <v>0</v>
      </c>
      <c r="Y180" s="113">
        <f t="shared" si="40"/>
        <v>0</v>
      </c>
      <c r="Z180" s="113">
        <f t="shared" si="41"/>
        <v>0</v>
      </c>
      <c r="AA180" s="113">
        <f t="shared" si="42"/>
        <v>0</v>
      </c>
      <c r="AB180" s="113">
        <f t="shared" si="43"/>
        <v>0</v>
      </c>
      <c r="AC180" s="113">
        <f t="shared" si="44"/>
        <v>0</v>
      </c>
      <c r="AD180" s="113">
        <f t="shared" si="45"/>
        <v>0</v>
      </c>
      <c r="AE180" s="113">
        <f t="shared" si="46"/>
        <v>0</v>
      </c>
      <c r="AF180" s="113">
        <f t="shared" si="47"/>
        <v>0</v>
      </c>
      <c r="AG180" s="113">
        <f t="shared" si="48"/>
        <v>0</v>
      </c>
      <c r="AH180" s="113">
        <f t="shared" si="49"/>
        <v>0</v>
      </c>
      <c r="AI180" s="113">
        <f t="shared" si="50"/>
        <v>0</v>
      </c>
      <c r="AJ180" s="113">
        <f t="shared" si="51"/>
        <v>0</v>
      </c>
      <c r="AK180" s="113">
        <f t="shared" si="52"/>
        <v>0</v>
      </c>
      <c r="AL180" s="113">
        <f t="shared" si="53"/>
        <v>0</v>
      </c>
      <c r="AM180" s="113">
        <f t="shared" si="54"/>
        <v>0</v>
      </c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</row>
    <row r="181" spans="4:72" s="59" customFormat="1" x14ac:dyDescent="0.25">
      <c r="D181" s="75" t="s">
        <v>62</v>
      </c>
      <c r="E181" s="70">
        <v>31</v>
      </c>
      <c r="F181" s="70">
        <v>22</v>
      </c>
      <c r="G181" s="70">
        <v>30</v>
      </c>
      <c r="H181"/>
      <c r="I181" s="113">
        <f t="shared" si="24"/>
        <v>-100</v>
      </c>
      <c r="J181" s="113">
        <f t="shared" si="25"/>
        <v>0</v>
      </c>
      <c r="K181" s="113">
        <f t="shared" si="26"/>
        <v>0</v>
      </c>
      <c r="L181" s="113">
        <f t="shared" si="27"/>
        <v>0</v>
      </c>
      <c r="M181" s="113">
        <f t="shared" si="28"/>
        <v>0</v>
      </c>
      <c r="N181" s="113">
        <f t="shared" si="29"/>
        <v>0</v>
      </c>
      <c r="O181" s="113">
        <f t="shared" si="30"/>
        <v>0</v>
      </c>
      <c r="P181" s="113">
        <f t="shared" si="31"/>
        <v>0</v>
      </c>
      <c r="Q181" s="113">
        <f t="shared" si="32"/>
        <v>0</v>
      </c>
      <c r="R181" s="113">
        <f t="shared" si="33"/>
        <v>0</v>
      </c>
      <c r="S181" s="113">
        <f t="shared" si="34"/>
        <v>0</v>
      </c>
      <c r="T181" s="113">
        <f t="shared" si="35"/>
        <v>0</v>
      </c>
      <c r="U181" s="113">
        <f t="shared" si="36"/>
        <v>0</v>
      </c>
      <c r="V181" s="113">
        <f t="shared" si="37"/>
        <v>0</v>
      </c>
      <c r="W181" s="113">
        <f t="shared" si="38"/>
        <v>0</v>
      </c>
      <c r="X181" s="113">
        <f t="shared" si="39"/>
        <v>0</v>
      </c>
      <c r="Y181" s="113">
        <f t="shared" si="40"/>
        <v>0</v>
      </c>
      <c r="Z181" s="113">
        <f t="shared" si="41"/>
        <v>0</v>
      </c>
      <c r="AA181" s="113">
        <f t="shared" si="42"/>
        <v>0</v>
      </c>
      <c r="AB181" s="113">
        <f>AB133-AB85*$AB$135</f>
        <v>0</v>
      </c>
      <c r="AC181" s="113">
        <f t="shared" si="44"/>
        <v>0</v>
      </c>
      <c r="AD181" s="113">
        <f t="shared" si="45"/>
        <v>0</v>
      </c>
      <c r="AE181" s="113">
        <f t="shared" si="46"/>
        <v>0</v>
      </c>
      <c r="AF181" s="113">
        <f t="shared" si="47"/>
        <v>0</v>
      </c>
      <c r="AG181" s="113">
        <f t="shared" si="48"/>
        <v>0</v>
      </c>
      <c r="AH181" s="113">
        <f t="shared" si="49"/>
        <v>0</v>
      </c>
      <c r="AI181" s="113">
        <f t="shared" si="50"/>
        <v>0</v>
      </c>
      <c r="AJ181" s="113">
        <f t="shared" si="51"/>
        <v>0</v>
      </c>
      <c r="AK181" s="113">
        <f t="shared" si="52"/>
        <v>0</v>
      </c>
      <c r="AL181" s="113">
        <f t="shared" si="53"/>
        <v>0</v>
      </c>
      <c r="AM181" s="113">
        <f t="shared" si="54"/>
        <v>0</v>
      </c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</row>
    <row r="186" spans="4:72" s="59" customFormat="1" x14ac:dyDescent="0.25">
      <c r="D186" s="58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 s="114" t="s">
        <v>80</v>
      </c>
      <c r="V186" s="114"/>
      <c r="W186" s="114"/>
      <c r="X186" s="114"/>
      <c r="Y186" s="114"/>
      <c r="Z186" s="114"/>
      <c r="AA186" s="114"/>
      <c r="AB186"/>
      <c r="AC186"/>
      <c r="AD186"/>
      <c r="AE186"/>
      <c r="AF186"/>
      <c r="AG186"/>
      <c r="AH186"/>
      <c r="AI186"/>
      <c r="AJ186"/>
      <c r="AK186"/>
      <c r="AL186"/>
      <c r="AM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</row>
    <row r="187" spans="4:72" s="59" customFormat="1" x14ac:dyDescent="0.25">
      <c r="D187" s="58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 s="114"/>
      <c r="V187" s="114"/>
      <c r="W187" s="114"/>
      <c r="X187" s="114"/>
      <c r="Y187" s="114"/>
      <c r="Z187" s="114"/>
      <c r="AA187" s="114"/>
      <c r="AB187"/>
      <c r="AC187"/>
      <c r="AD187"/>
      <c r="AE187"/>
      <c r="AF187"/>
      <c r="AG187"/>
      <c r="AH187"/>
      <c r="AI187"/>
      <c r="AJ187"/>
      <c r="AK187"/>
      <c r="AL187"/>
      <c r="AM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</row>
    <row r="188" spans="4:72" s="59" customFormat="1" x14ac:dyDescent="0.25">
      <c r="D188" s="5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 s="114"/>
      <c r="V188" s="114"/>
      <c r="W188" s="114"/>
      <c r="X188" s="114"/>
      <c r="Y188" s="114"/>
      <c r="Z188" s="114"/>
      <c r="AA188" s="114"/>
      <c r="AB188"/>
      <c r="AC188"/>
      <c r="AD188"/>
      <c r="AE188"/>
      <c r="AF188"/>
      <c r="AG188"/>
      <c r="AH188"/>
      <c r="AI188"/>
      <c r="AJ188"/>
      <c r="AK188"/>
      <c r="AL188"/>
      <c r="AM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</row>
    <row r="190" spans="4:72" s="59" customFormat="1" x14ac:dyDescent="0.25">
      <c r="D190" s="58"/>
      <c r="E190" s="58"/>
      <c r="I190" s="66" t="s">
        <v>31</v>
      </c>
      <c r="J190" s="67" t="s">
        <v>32</v>
      </c>
      <c r="K190" s="67" t="s">
        <v>33</v>
      </c>
      <c r="L190" s="67" t="s">
        <v>34</v>
      </c>
      <c r="M190" s="67" t="s">
        <v>35</v>
      </c>
      <c r="N190" s="67" t="s">
        <v>36</v>
      </c>
      <c r="O190" s="67" t="s">
        <v>37</v>
      </c>
      <c r="P190" s="67" t="s">
        <v>38</v>
      </c>
      <c r="Q190" s="67" t="s">
        <v>39</v>
      </c>
      <c r="R190" s="67" t="s">
        <v>40</v>
      </c>
      <c r="S190" s="67" t="s">
        <v>41</v>
      </c>
      <c r="T190" s="67" t="s">
        <v>42</v>
      </c>
      <c r="U190" s="67" t="s">
        <v>43</v>
      </c>
      <c r="V190" s="67" t="s">
        <v>44</v>
      </c>
      <c r="W190" s="67" t="s">
        <v>45</v>
      </c>
      <c r="X190" s="67" t="s">
        <v>46</v>
      </c>
      <c r="Y190" s="67" t="s">
        <v>47</v>
      </c>
      <c r="Z190" s="67" t="s">
        <v>48</v>
      </c>
      <c r="AA190" s="67" t="s">
        <v>49</v>
      </c>
      <c r="AB190" s="67" t="s">
        <v>50</v>
      </c>
      <c r="AC190" s="67" t="s">
        <v>51</v>
      </c>
      <c r="AD190" s="67" t="s">
        <v>52</v>
      </c>
      <c r="AE190" s="67" t="s">
        <v>53</v>
      </c>
      <c r="AF190" s="67" t="s">
        <v>54</v>
      </c>
      <c r="AG190" s="67" t="s">
        <v>55</v>
      </c>
      <c r="AH190" s="67" t="s">
        <v>56</v>
      </c>
      <c r="AI190" s="67" t="s">
        <v>57</v>
      </c>
      <c r="AJ190" s="67" t="s">
        <v>58</v>
      </c>
      <c r="AK190" s="67" t="s">
        <v>59</v>
      </c>
      <c r="AL190" s="67" t="s">
        <v>60</v>
      </c>
      <c r="AM190" s="67" t="s">
        <v>61</v>
      </c>
      <c r="AN190" s="67" t="s">
        <v>62</v>
      </c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</row>
    <row r="191" spans="4:72" s="59" customFormat="1" x14ac:dyDescent="0.25">
      <c r="D191" s="58"/>
      <c r="E191" s="58"/>
      <c r="I191" s="69" t="s">
        <v>63</v>
      </c>
      <c r="J191" s="70">
        <v>1</v>
      </c>
      <c r="K191" s="70">
        <v>2</v>
      </c>
      <c r="L191" s="70">
        <v>3</v>
      </c>
      <c r="M191" s="70">
        <v>4</v>
      </c>
      <c r="N191" s="70">
        <v>5</v>
      </c>
      <c r="O191" s="70">
        <v>6</v>
      </c>
      <c r="P191" s="70">
        <v>7</v>
      </c>
      <c r="Q191" s="70">
        <v>8</v>
      </c>
      <c r="R191" s="70">
        <v>9</v>
      </c>
      <c r="S191" s="70">
        <v>10</v>
      </c>
      <c r="T191" s="70">
        <v>11</v>
      </c>
      <c r="U191" s="70">
        <v>12</v>
      </c>
      <c r="V191" s="70">
        <v>13</v>
      </c>
      <c r="W191" s="70">
        <v>14</v>
      </c>
      <c r="X191" s="70">
        <v>15</v>
      </c>
      <c r="Y191" s="70">
        <v>16</v>
      </c>
      <c r="Z191" s="70">
        <v>17</v>
      </c>
      <c r="AA191" s="70">
        <v>18</v>
      </c>
      <c r="AB191" s="70">
        <v>19</v>
      </c>
      <c r="AC191" s="70">
        <v>20</v>
      </c>
      <c r="AD191" s="70">
        <v>21</v>
      </c>
      <c r="AE191" s="70">
        <v>22</v>
      </c>
      <c r="AF191" s="70">
        <v>23</v>
      </c>
      <c r="AG191" s="70">
        <v>24</v>
      </c>
      <c r="AH191" s="70">
        <v>25</v>
      </c>
      <c r="AI191" s="70">
        <v>26</v>
      </c>
      <c r="AJ191" s="70">
        <v>27</v>
      </c>
      <c r="AK191" s="70">
        <v>28</v>
      </c>
      <c r="AL191" s="70">
        <v>29</v>
      </c>
      <c r="AM191" s="70">
        <v>30</v>
      </c>
      <c r="AN191" s="70">
        <v>31</v>
      </c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</row>
    <row r="192" spans="4:72" s="59" customFormat="1" x14ac:dyDescent="0.25">
      <c r="D192" s="58"/>
      <c r="E192" s="58"/>
      <c r="I192" s="69" t="s">
        <v>64</v>
      </c>
      <c r="J192" s="70">
        <f t="shared" ref="J192" ca="1" si="55">OFFSET($F$8,J191,0)</f>
        <v>0</v>
      </c>
      <c r="K192" s="70">
        <f ca="1">OFFSET($F$8,K191,0)</f>
        <v>-22</v>
      </c>
      <c r="L192" s="70">
        <f t="shared" ref="L192:AN192" ca="1" si="56">OFFSET($F$8,L191,0)</f>
        <v>-20</v>
      </c>
      <c r="M192" s="70">
        <f t="shared" ca="1" si="56"/>
        <v>-16</v>
      </c>
      <c r="N192" s="70">
        <f t="shared" ca="1" si="56"/>
        <v>-14</v>
      </c>
      <c r="O192" s="70">
        <f t="shared" ca="1" si="56"/>
        <v>-10</v>
      </c>
      <c r="P192" s="70">
        <f t="shared" ca="1" si="56"/>
        <v>10</v>
      </c>
      <c r="Q192" s="70">
        <f t="shared" ca="1" si="56"/>
        <v>14</v>
      </c>
      <c r="R192" s="70">
        <f t="shared" ca="1" si="56"/>
        <v>16</v>
      </c>
      <c r="S192" s="70">
        <f t="shared" ca="1" si="56"/>
        <v>20</v>
      </c>
      <c r="T192" s="70">
        <f t="shared" ca="1" si="56"/>
        <v>22</v>
      </c>
      <c r="U192" s="70">
        <f t="shared" ca="1" si="56"/>
        <v>-22</v>
      </c>
      <c r="V192" s="70">
        <f t="shared" ca="1" si="56"/>
        <v>-20</v>
      </c>
      <c r="W192" s="70">
        <f t="shared" ca="1" si="56"/>
        <v>-16</v>
      </c>
      <c r="X192" s="70">
        <f t="shared" ca="1" si="56"/>
        <v>-14</v>
      </c>
      <c r="Y192" s="70">
        <f t="shared" ca="1" si="56"/>
        <v>-10</v>
      </c>
      <c r="Z192" s="70">
        <f t="shared" ca="1" si="56"/>
        <v>10</v>
      </c>
      <c r="AA192" s="70">
        <f t="shared" ca="1" si="56"/>
        <v>14</v>
      </c>
      <c r="AB192" s="70">
        <f t="shared" ca="1" si="56"/>
        <v>16</v>
      </c>
      <c r="AC192" s="70">
        <f t="shared" ca="1" si="56"/>
        <v>20</v>
      </c>
      <c r="AD192" s="70">
        <f t="shared" ca="1" si="56"/>
        <v>22</v>
      </c>
      <c r="AE192" s="70">
        <f t="shared" ca="1" si="56"/>
        <v>-22</v>
      </c>
      <c r="AF192" s="70">
        <f t="shared" ca="1" si="56"/>
        <v>-20</v>
      </c>
      <c r="AG192" s="70">
        <f t="shared" ca="1" si="56"/>
        <v>-16</v>
      </c>
      <c r="AH192" s="70">
        <f t="shared" ca="1" si="56"/>
        <v>-14</v>
      </c>
      <c r="AI192" s="70">
        <f t="shared" ca="1" si="56"/>
        <v>-10</v>
      </c>
      <c r="AJ192" s="70">
        <f t="shared" ca="1" si="56"/>
        <v>20</v>
      </c>
      <c r="AK192" s="70">
        <f t="shared" ca="1" si="56"/>
        <v>14</v>
      </c>
      <c r="AL192" s="70">
        <f t="shared" ca="1" si="56"/>
        <v>16</v>
      </c>
      <c r="AM192" s="70">
        <f t="shared" ca="1" si="56"/>
        <v>20</v>
      </c>
      <c r="AN192" s="70">
        <f t="shared" ca="1" si="56"/>
        <v>22</v>
      </c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</row>
    <row r="193" spans="4:72" s="59" customFormat="1" x14ac:dyDescent="0.25">
      <c r="D193" s="58"/>
      <c r="E193" s="58"/>
      <c r="I193" s="69" t="s">
        <v>65</v>
      </c>
      <c r="J193" s="70">
        <f t="shared" ref="J193:AN193" ca="1" si="57">OFFSET($G$8,J191,0)</f>
        <v>0</v>
      </c>
      <c r="K193" s="70">
        <f t="shared" ca="1" si="57"/>
        <v>10</v>
      </c>
      <c r="L193" s="70">
        <f t="shared" ca="1" si="57"/>
        <v>10</v>
      </c>
      <c r="M193" s="70">
        <f t="shared" ca="1" si="57"/>
        <v>10</v>
      </c>
      <c r="N193" s="70">
        <f t="shared" ca="1" si="57"/>
        <v>10</v>
      </c>
      <c r="O193" s="70">
        <f t="shared" ca="1" si="57"/>
        <v>10</v>
      </c>
      <c r="P193" s="70">
        <f t="shared" ca="1" si="57"/>
        <v>10</v>
      </c>
      <c r="Q193" s="70">
        <f t="shared" ca="1" si="57"/>
        <v>10</v>
      </c>
      <c r="R193" s="70">
        <f t="shared" ca="1" si="57"/>
        <v>10</v>
      </c>
      <c r="S193" s="70">
        <f t="shared" ca="1" si="57"/>
        <v>10</v>
      </c>
      <c r="T193" s="70">
        <f t="shared" ca="1" si="57"/>
        <v>10</v>
      </c>
      <c r="U193" s="70">
        <f t="shared" ca="1" si="57"/>
        <v>20</v>
      </c>
      <c r="V193" s="70">
        <f t="shared" ca="1" si="57"/>
        <v>20</v>
      </c>
      <c r="W193" s="70">
        <f t="shared" ca="1" si="57"/>
        <v>20</v>
      </c>
      <c r="X193" s="70">
        <f t="shared" ca="1" si="57"/>
        <v>20</v>
      </c>
      <c r="Y193" s="70">
        <f t="shared" ca="1" si="57"/>
        <v>20</v>
      </c>
      <c r="Z193" s="70">
        <f t="shared" ca="1" si="57"/>
        <v>20</v>
      </c>
      <c r="AA193" s="70">
        <f t="shared" ca="1" si="57"/>
        <v>20</v>
      </c>
      <c r="AB193" s="70">
        <f t="shared" ca="1" si="57"/>
        <v>20</v>
      </c>
      <c r="AC193" s="70">
        <f t="shared" ca="1" si="57"/>
        <v>20</v>
      </c>
      <c r="AD193" s="70">
        <f t="shared" ca="1" si="57"/>
        <v>20</v>
      </c>
      <c r="AE193" s="70">
        <f t="shared" ca="1" si="57"/>
        <v>30</v>
      </c>
      <c r="AF193" s="70">
        <f t="shared" ca="1" si="57"/>
        <v>30</v>
      </c>
      <c r="AG193" s="70">
        <f t="shared" ca="1" si="57"/>
        <v>30</v>
      </c>
      <c r="AH193" s="70">
        <f t="shared" ca="1" si="57"/>
        <v>30</v>
      </c>
      <c r="AI193" s="70">
        <f t="shared" ca="1" si="57"/>
        <v>30</v>
      </c>
      <c r="AJ193" s="70">
        <f t="shared" ca="1" si="57"/>
        <v>32</v>
      </c>
      <c r="AK193" s="70">
        <f t="shared" ca="1" si="57"/>
        <v>30</v>
      </c>
      <c r="AL193" s="70">
        <f t="shared" ca="1" si="57"/>
        <v>30</v>
      </c>
      <c r="AM193" s="70">
        <f t="shared" ca="1" si="57"/>
        <v>30</v>
      </c>
      <c r="AN193" s="70">
        <f t="shared" ca="1" si="57"/>
        <v>30</v>
      </c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</row>
    <row r="194" spans="4:72" s="59" customFormat="1" x14ac:dyDescent="0.25">
      <c r="D194" s="58"/>
      <c r="E194" s="73" t="s">
        <v>31</v>
      </c>
      <c r="F194" s="69" t="s">
        <v>63</v>
      </c>
      <c r="G194" s="69" t="s">
        <v>64</v>
      </c>
      <c r="H194" s="69" t="s">
        <v>65</v>
      </c>
      <c r="I194" s="59" t="s">
        <v>68</v>
      </c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</row>
    <row r="195" spans="4:72" s="59" customFormat="1" x14ac:dyDescent="0.25">
      <c r="D195" s="58"/>
      <c r="E195" s="75" t="s">
        <v>32</v>
      </c>
      <c r="F195" s="70">
        <v>1</v>
      </c>
      <c r="G195" s="70">
        <v>0</v>
      </c>
      <c r="H195" s="70">
        <v>0</v>
      </c>
      <c r="I195"/>
      <c r="J195" s="76">
        <f>I9/6</f>
        <v>138.88888888888889</v>
      </c>
      <c r="K195" s="76">
        <f t="shared" ref="K195:Z210" si="58">J9/6</f>
        <v>3.356401659331826</v>
      </c>
      <c r="L195" s="76">
        <f t="shared" si="58"/>
        <v>3.1056499687497081</v>
      </c>
      <c r="M195" s="76">
        <f t="shared" si="58"/>
        <v>2.6205503144601674</v>
      </c>
      <c r="N195" s="76">
        <f t="shared" si="58"/>
        <v>2.3895347964007296</v>
      </c>
      <c r="O195" s="76">
        <f t="shared" si="58"/>
        <v>1.9641855032959654</v>
      </c>
      <c r="P195" s="76">
        <f t="shared" si="58"/>
        <v>1.9641855032959654</v>
      </c>
      <c r="Q195" s="76">
        <f t="shared" si="58"/>
        <v>2.3895347964007296</v>
      </c>
      <c r="R195" s="76">
        <f t="shared" si="58"/>
        <v>2.6205503144601674</v>
      </c>
      <c r="S195" s="76">
        <f t="shared" si="58"/>
        <v>3.1056499687497081</v>
      </c>
      <c r="T195" s="76">
        <f t="shared" si="58"/>
        <v>3.356401659331826</v>
      </c>
      <c r="U195" s="76">
        <f t="shared" si="58"/>
        <v>4.1294635409218072</v>
      </c>
      <c r="V195" s="76">
        <f t="shared" si="58"/>
        <v>3.9283710065919308</v>
      </c>
      <c r="W195" s="76">
        <f t="shared" si="58"/>
        <v>3.5572912430182497</v>
      </c>
      <c r="X195" s="76">
        <f t="shared" si="58"/>
        <v>3.3907098932593622</v>
      </c>
      <c r="Y195" s="76">
        <f t="shared" si="58"/>
        <v>3.1056499687497081</v>
      </c>
      <c r="Z195" s="76">
        <f t="shared" si="58"/>
        <v>3.1056499687497081</v>
      </c>
      <c r="AA195" s="76">
        <f t="shared" ref="Z195:AN210" si="59">Z9/6</f>
        <v>3.3907098932593622</v>
      </c>
      <c r="AB195" s="76">
        <f t="shared" si="59"/>
        <v>3.5572912430182497</v>
      </c>
      <c r="AC195" s="76">
        <f t="shared" si="59"/>
        <v>3.9283710065919308</v>
      </c>
      <c r="AD195" s="76">
        <f t="shared" si="59"/>
        <v>4.1294635409218072</v>
      </c>
      <c r="AE195" s="76">
        <f t="shared" si="59"/>
        <v>5.1669653438161882</v>
      </c>
      <c r="AF195" s="76">
        <f t="shared" si="59"/>
        <v>5.0077101048110961</v>
      </c>
      <c r="AG195" s="76">
        <f t="shared" si="59"/>
        <v>4.7222222222222223</v>
      </c>
      <c r="AH195" s="76">
        <f t="shared" si="59"/>
        <v>4.5980403770130138</v>
      </c>
      <c r="AI195" s="76">
        <f t="shared" si="59"/>
        <v>4.3920523057894156</v>
      </c>
      <c r="AJ195" s="76">
        <f t="shared" si="59"/>
        <v>5.2411006289203348</v>
      </c>
      <c r="AK195" s="76">
        <f t="shared" si="59"/>
        <v>4.5980403770130138</v>
      </c>
      <c r="AL195" s="76">
        <f t="shared" si="59"/>
        <v>4.7222222222222223</v>
      </c>
      <c r="AM195" s="76">
        <f t="shared" si="59"/>
        <v>5.0077101048110961</v>
      </c>
      <c r="AN195" s="76">
        <f t="shared" si="59"/>
        <v>5.1669653438161882</v>
      </c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</row>
    <row r="196" spans="4:72" s="59" customFormat="1" x14ac:dyDescent="0.25">
      <c r="D196" s="58"/>
      <c r="E196" s="75" t="s">
        <v>33</v>
      </c>
      <c r="F196" s="70">
        <v>2</v>
      </c>
      <c r="G196" s="70">
        <v>-22</v>
      </c>
      <c r="H196" s="70">
        <v>10</v>
      </c>
      <c r="I196"/>
      <c r="J196" s="76">
        <f t="shared" ref="J196:Y211" si="60">I10/6</f>
        <v>3.356401659331826</v>
      </c>
      <c r="K196" s="76">
        <f t="shared" si="60"/>
        <v>138.88888888888889</v>
      </c>
      <c r="L196" s="76">
        <f t="shared" si="60"/>
        <v>0.27777777777777779</v>
      </c>
      <c r="M196" s="76">
        <f t="shared" si="60"/>
        <v>0.83333333333333337</v>
      </c>
      <c r="N196" s="76">
        <f t="shared" si="60"/>
        <v>1.1111111111111112</v>
      </c>
      <c r="O196" s="76">
        <f t="shared" si="60"/>
        <v>1.6666666666666667</v>
      </c>
      <c r="P196" s="76">
        <f t="shared" si="60"/>
        <v>4.4444444444444446</v>
      </c>
      <c r="Q196" s="76">
        <f t="shared" si="60"/>
        <v>5</v>
      </c>
      <c r="R196" s="76">
        <f t="shared" si="60"/>
        <v>5.2777777777777777</v>
      </c>
      <c r="S196" s="76">
        <f t="shared" si="60"/>
        <v>5.833333333333333</v>
      </c>
      <c r="T196" s="76">
        <f t="shared" si="60"/>
        <v>6.1111111111111116</v>
      </c>
      <c r="U196" s="76">
        <f t="shared" si="60"/>
        <v>1.3888888888888891</v>
      </c>
      <c r="V196" s="76">
        <f t="shared" si="60"/>
        <v>1.4163943093313291</v>
      </c>
      <c r="W196" s="76">
        <f t="shared" si="60"/>
        <v>1.6197088596792504</v>
      </c>
      <c r="X196" s="76">
        <f t="shared" si="60"/>
        <v>1.7786456215091249</v>
      </c>
      <c r="Y196" s="76">
        <f t="shared" si="60"/>
        <v>2.1695137988629596</v>
      </c>
      <c r="Z196" s="76">
        <f t="shared" si="59"/>
        <v>4.6564040595111704</v>
      </c>
      <c r="AA196" s="76">
        <f t="shared" si="59"/>
        <v>5.1893171367415016</v>
      </c>
      <c r="AB196" s="76">
        <f t="shared" si="59"/>
        <v>5.4574674178856943</v>
      </c>
      <c r="AC196" s="76">
        <f t="shared" si="59"/>
        <v>5.9963980958119167</v>
      </c>
      <c r="AD196" s="76">
        <f t="shared" si="59"/>
        <v>6.2669523181547104</v>
      </c>
      <c r="AE196" s="76">
        <f t="shared" si="59"/>
        <v>2.7777777777777781</v>
      </c>
      <c r="AF196" s="76">
        <f t="shared" si="59"/>
        <v>2.7916321169780254</v>
      </c>
      <c r="AG196" s="76">
        <f t="shared" si="59"/>
        <v>2.9000851413640416</v>
      </c>
      <c r="AH196" s="76">
        <f t="shared" si="59"/>
        <v>2.9917582261858353</v>
      </c>
      <c r="AI196" s="76">
        <f t="shared" si="59"/>
        <v>3.2394177193585008</v>
      </c>
      <c r="AJ196" s="76">
        <f t="shared" si="59"/>
        <v>6.5851497728498316</v>
      </c>
      <c r="AK196" s="76">
        <f t="shared" si="59"/>
        <v>5.719794522770556</v>
      </c>
      <c r="AL196" s="76">
        <f t="shared" si="59"/>
        <v>5.964141820439969</v>
      </c>
      <c r="AM196" s="76">
        <f t="shared" si="59"/>
        <v>6.4609463053405598</v>
      </c>
      <c r="AN196" s="76">
        <f t="shared" si="59"/>
        <v>6.712803318663652</v>
      </c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</row>
    <row r="197" spans="4:72" s="59" customFormat="1" x14ac:dyDescent="0.25">
      <c r="D197" s="58"/>
      <c r="E197" s="75" t="s">
        <v>34</v>
      </c>
      <c r="F197" s="70">
        <v>3</v>
      </c>
      <c r="G197" s="70">
        <v>-20</v>
      </c>
      <c r="H197" s="70">
        <v>10</v>
      </c>
      <c r="I197"/>
      <c r="J197" s="76">
        <f t="shared" si="60"/>
        <v>3.1056499687497081</v>
      </c>
      <c r="K197" s="76">
        <f t="shared" si="60"/>
        <v>0.27777777777777779</v>
      </c>
      <c r="L197" s="76">
        <f t="shared" si="60"/>
        <v>138.88888888888889</v>
      </c>
      <c r="M197" s="76">
        <f t="shared" si="60"/>
        <v>0.55555555555555558</v>
      </c>
      <c r="N197" s="76">
        <f t="shared" si="60"/>
        <v>0.83333333333333337</v>
      </c>
      <c r="O197" s="76">
        <f t="shared" si="60"/>
        <v>1.3888888888888891</v>
      </c>
      <c r="P197" s="76">
        <f t="shared" si="60"/>
        <v>4.166666666666667</v>
      </c>
      <c r="Q197" s="76">
        <f t="shared" si="60"/>
        <v>4.7222222222222223</v>
      </c>
      <c r="R197" s="76">
        <f t="shared" si="60"/>
        <v>5</v>
      </c>
      <c r="S197" s="76">
        <f t="shared" si="60"/>
        <v>5.5555555555555562</v>
      </c>
      <c r="T197" s="76">
        <f t="shared" si="60"/>
        <v>5.833333333333333</v>
      </c>
      <c r="U197" s="76">
        <f t="shared" si="60"/>
        <v>1.4163943093313291</v>
      </c>
      <c r="V197" s="76">
        <f t="shared" si="60"/>
        <v>1.3888888888888891</v>
      </c>
      <c r="W197" s="76">
        <f t="shared" si="60"/>
        <v>1.4958791130929177</v>
      </c>
      <c r="X197" s="76">
        <f t="shared" si="60"/>
        <v>1.6197088596792504</v>
      </c>
      <c r="Y197" s="76">
        <f t="shared" si="60"/>
        <v>1.9641855032959654</v>
      </c>
      <c r="Z197" s="76">
        <f t="shared" si="59"/>
        <v>4.3920523057894156</v>
      </c>
      <c r="AA197" s="76">
        <f t="shared" si="59"/>
        <v>4.9222347629637087</v>
      </c>
      <c r="AB197" s="76">
        <f t="shared" si="59"/>
        <v>5.1893171367415016</v>
      </c>
      <c r="AC197" s="76">
        <f t="shared" si="59"/>
        <v>5.7265355911356401</v>
      </c>
      <c r="AD197" s="76">
        <f t="shared" si="59"/>
        <v>5.9963980958119167</v>
      </c>
      <c r="AE197" s="76">
        <f t="shared" si="59"/>
        <v>2.7916321169780254</v>
      </c>
      <c r="AF197" s="76">
        <f t="shared" si="59"/>
        <v>2.7777777777777781</v>
      </c>
      <c r="AG197" s="76">
        <f t="shared" si="59"/>
        <v>2.8327886186626583</v>
      </c>
      <c r="AH197" s="76">
        <f t="shared" si="59"/>
        <v>2.9000851413640416</v>
      </c>
      <c r="AI197" s="76">
        <f t="shared" si="59"/>
        <v>3.1056499687497081</v>
      </c>
      <c r="AJ197" s="76">
        <f t="shared" si="59"/>
        <v>6.3403956725074044</v>
      </c>
      <c r="AK197" s="76">
        <f t="shared" si="59"/>
        <v>5.4786341453655618</v>
      </c>
      <c r="AL197" s="76">
        <f t="shared" si="59"/>
        <v>5.719794522770556</v>
      </c>
      <c r="AM197" s="76">
        <f t="shared" si="59"/>
        <v>6.2112999374994162</v>
      </c>
      <c r="AN197" s="76">
        <f t="shared" si="59"/>
        <v>6.4609463053405598</v>
      </c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</row>
    <row r="198" spans="4:72" s="59" customFormat="1" x14ac:dyDescent="0.25">
      <c r="D198" s="58"/>
      <c r="E198" s="75" t="s">
        <v>35</v>
      </c>
      <c r="F198" s="70">
        <v>4</v>
      </c>
      <c r="G198" s="70">
        <v>-16</v>
      </c>
      <c r="H198" s="70">
        <v>10</v>
      </c>
      <c r="I198"/>
      <c r="J198" s="76">
        <f t="shared" si="60"/>
        <v>2.6205503144601674</v>
      </c>
      <c r="K198" s="76">
        <f t="shared" si="60"/>
        <v>0.83333333333333337</v>
      </c>
      <c r="L198" s="76">
        <f t="shared" si="60"/>
        <v>0.55555555555555558</v>
      </c>
      <c r="M198" s="76">
        <f t="shared" si="60"/>
        <v>138.88888888888889</v>
      </c>
      <c r="N198" s="76">
        <f t="shared" si="60"/>
        <v>0.27777777777777779</v>
      </c>
      <c r="O198" s="76">
        <f t="shared" si="60"/>
        <v>0.83333333333333337</v>
      </c>
      <c r="P198" s="76">
        <f t="shared" si="60"/>
        <v>3.6111111111111112</v>
      </c>
      <c r="Q198" s="76">
        <f t="shared" si="60"/>
        <v>4.166666666666667</v>
      </c>
      <c r="R198" s="76">
        <f t="shared" si="60"/>
        <v>4.4444444444444446</v>
      </c>
      <c r="S198" s="76">
        <f t="shared" si="60"/>
        <v>5</v>
      </c>
      <c r="T198" s="76">
        <f t="shared" si="60"/>
        <v>5.2777777777777777</v>
      </c>
      <c r="U198" s="76">
        <f t="shared" si="60"/>
        <v>1.6197088596792504</v>
      </c>
      <c r="V198" s="76">
        <f t="shared" si="60"/>
        <v>1.4958791130929177</v>
      </c>
      <c r="W198" s="76">
        <f t="shared" si="60"/>
        <v>1.3888888888888891</v>
      </c>
      <c r="X198" s="76">
        <f t="shared" si="60"/>
        <v>1.4163943093313291</v>
      </c>
      <c r="Y198" s="76">
        <f t="shared" si="60"/>
        <v>1.6197088596792504</v>
      </c>
      <c r="Z198" s="76">
        <f t="shared" si="59"/>
        <v>3.8689967436622559</v>
      </c>
      <c r="AA198" s="76">
        <f t="shared" si="59"/>
        <v>4.3920523057894156</v>
      </c>
      <c r="AB198" s="76">
        <f t="shared" si="59"/>
        <v>4.6564040595111704</v>
      </c>
      <c r="AC198" s="76">
        <f t="shared" si="59"/>
        <v>5.1893171367415016</v>
      </c>
      <c r="AD198" s="76">
        <f t="shared" si="59"/>
        <v>5.4574674178856943</v>
      </c>
      <c r="AE198" s="76">
        <f t="shared" si="59"/>
        <v>2.9000851413640416</v>
      </c>
      <c r="AF198" s="76">
        <f t="shared" si="59"/>
        <v>2.8327886186626583</v>
      </c>
      <c r="AG198" s="76">
        <f t="shared" si="59"/>
        <v>2.7777777777777781</v>
      </c>
      <c r="AH198" s="76">
        <f t="shared" si="59"/>
        <v>2.7916321169780254</v>
      </c>
      <c r="AI198" s="76">
        <f t="shared" si="59"/>
        <v>2.9000851413640416</v>
      </c>
      <c r="AJ198" s="76">
        <f t="shared" si="59"/>
        <v>5.8597286415913858</v>
      </c>
      <c r="AK198" s="76">
        <f t="shared" si="59"/>
        <v>5.0077101048110961</v>
      </c>
      <c r="AL198" s="76">
        <f t="shared" si="59"/>
        <v>5.2411006289203348</v>
      </c>
      <c r="AM198" s="76">
        <f t="shared" si="59"/>
        <v>5.719794522770556</v>
      </c>
      <c r="AN198" s="76">
        <f t="shared" si="59"/>
        <v>5.964141820439969</v>
      </c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</row>
    <row r="199" spans="4:72" s="59" customFormat="1" x14ac:dyDescent="0.25">
      <c r="D199" s="58"/>
      <c r="E199" s="75" t="s">
        <v>36</v>
      </c>
      <c r="F199" s="70">
        <v>5</v>
      </c>
      <c r="G199" s="70">
        <v>-14</v>
      </c>
      <c r="H199" s="70">
        <v>10</v>
      </c>
      <c r="I199"/>
      <c r="J199" s="76">
        <f t="shared" si="60"/>
        <v>2.3895347964007296</v>
      </c>
      <c r="K199" s="76">
        <f t="shared" si="60"/>
        <v>1.1111111111111112</v>
      </c>
      <c r="L199" s="76">
        <f t="shared" si="60"/>
        <v>0.83333333333333337</v>
      </c>
      <c r="M199" s="76">
        <f t="shared" si="60"/>
        <v>0.27777777777777779</v>
      </c>
      <c r="N199" s="76">
        <f t="shared" si="60"/>
        <v>138.88888888888889</v>
      </c>
      <c r="O199" s="76">
        <f t="shared" si="60"/>
        <v>0.55555555555555558</v>
      </c>
      <c r="P199" s="76">
        <f t="shared" si="60"/>
        <v>3.3333333333333335</v>
      </c>
      <c r="Q199" s="76">
        <f t="shared" si="60"/>
        <v>3.8888888888888893</v>
      </c>
      <c r="R199" s="76">
        <f t="shared" si="60"/>
        <v>4.166666666666667</v>
      </c>
      <c r="S199" s="76">
        <f t="shared" si="60"/>
        <v>4.7222222222222223</v>
      </c>
      <c r="T199" s="76">
        <f t="shared" si="60"/>
        <v>5</v>
      </c>
      <c r="U199" s="76">
        <f t="shared" si="60"/>
        <v>1.7786456215091249</v>
      </c>
      <c r="V199" s="76">
        <f t="shared" si="60"/>
        <v>1.6197088596792504</v>
      </c>
      <c r="W199" s="76">
        <f t="shared" si="60"/>
        <v>1.4163943093313291</v>
      </c>
      <c r="X199" s="76">
        <f t="shared" si="60"/>
        <v>1.3888888888888891</v>
      </c>
      <c r="Y199" s="76">
        <f t="shared" si="60"/>
        <v>1.4958791130929177</v>
      </c>
      <c r="Z199" s="76">
        <f t="shared" si="59"/>
        <v>3.6111111111111112</v>
      </c>
      <c r="AA199" s="76">
        <f t="shared" si="59"/>
        <v>4.1294635409218072</v>
      </c>
      <c r="AB199" s="76">
        <f t="shared" si="59"/>
        <v>4.3920523057894156</v>
      </c>
      <c r="AC199" s="76">
        <f t="shared" si="59"/>
        <v>4.9222347629637087</v>
      </c>
      <c r="AD199" s="76">
        <f t="shared" si="59"/>
        <v>5.1893171367415016</v>
      </c>
      <c r="AE199" s="76">
        <f t="shared" si="59"/>
        <v>2.9917582261858353</v>
      </c>
      <c r="AF199" s="76">
        <f t="shared" si="59"/>
        <v>2.9000851413640416</v>
      </c>
      <c r="AG199" s="76">
        <f t="shared" si="59"/>
        <v>2.7916321169780254</v>
      </c>
      <c r="AH199" s="76">
        <f t="shared" si="59"/>
        <v>2.7777777777777781</v>
      </c>
      <c r="AI199" s="76">
        <f t="shared" si="59"/>
        <v>2.8327886186626583</v>
      </c>
      <c r="AJ199" s="76">
        <f t="shared" si="59"/>
        <v>5.6245713142546085</v>
      </c>
      <c r="AK199" s="76">
        <f t="shared" si="59"/>
        <v>4.7790695928014593</v>
      </c>
      <c r="AL199" s="76">
        <f t="shared" si="59"/>
        <v>5.0077101048110961</v>
      </c>
      <c r="AM199" s="76">
        <f t="shared" si="59"/>
        <v>5.4786341453655618</v>
      </c>
      <c r="AN199" s="76">
        <f t="shared" si="59"/>
        <v>5.719794522770556</v>
      </c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</row>
    <row r="200" spans="4:72" s="59" customFormat="1" x14ac:dyDescent="0.25">
      <c r="D200" s="58"/>
      <c r="E200" s="75" t="s">
        <v>37</v>
      </c>
      <c r="F200" s="70">
        <v>6</v>
      </c>
      <c r="G200" s="70">
        <v>-10</v>
      </c>
      <c r="H200" s="70">
        <v>10</v>
      </c>
      <c r="I200"/>
      <c r="J200" s="76">
        <f t="shared" si="60"/>
        <v>1.9641855032959654</v>
      </c>
      <c r="K200" s="76">
        <f t="shared" si="60"/>
        <v>1.6666666666666667</v>
      </c>
      <c r="L200" s="76">
        <f t="shared" si="60"/>
        <v>1.3888888888888891</v>
      </c>
      <c r="M200" s="76">
        <f t="shared" si="60"/>
        <v>0.83333333333333337</v>
      </c>
      <c r="N200" s="76">
        <f t="shared" si="60"/>
        <v>0.55555555555555558</v>
      </c>
      <c r="O200" s="76">
        <f t="shared" si="60"/>
        <v>138.88888888888889</v>
      </c>
      <c r="P200" s="76">
        <f t="shared" si="60"/>
        <v>2.7777777777777781</v>
      </c>
      <c r="Q200" s="76">
        <f t="shared" si="60"/>
        <v>3.3333333333333335</v>
      </c>
      <c r="R200" s="76">
        <f t="shared" si="60"/>
        <v>3.6111111111111112</v>
      </c>
      <c r="S200" s="76">
        <f t="shared" si="60"/>
        <v>4.166666666666667</v>
      </c>
      <c r="T200" s="76">
        <f t="shared" si="60"/>
        <v>4.4444444444444446</v>
      </c>
      <c r="U200" s="76">
        <f t="shared" si="60"/>
        <v>2.1695137988629596</v>
      </c>
      <c r="V200" s="76">
        <f t="shared" si="60"/>
        <v>1.9641855032959654</v>
      </c>
      <c r="W200" s="76">
        <f t="shared" si="60"/>
        <v>1.6197088596792504</v>
      </c>
      <c r="X200" s="76">
        <f t="shared" si="60"/>
        <v>1.4958791130929177</v>
      </c>
      <c r="Y200" s="76">
        <f t="shared" si="60"/>
        <v>1.3888888888888891</v>
      </c>
      <c r="Z200" s="76">
        <f t="shared" si="59"/>
        <v>3.1056499687497081</v>
      </c>
      <c r="AA200" s="76">
        <f t="shared" si="59"/>
        <v>3.6111111111111112</v>
      </c>
      <c r="AB200" s="76">
        <f t="shared" si="59"/>
        <v>3.8689967436622559</v>
      </c>
      <c r="AC200" s="76">
        <f t="shared" si="59"/>
        <v>4.3920523057894156</v>
      </c>
      <c r="AD200" s="76">
        <f t="shared" si="59"/>
        <v>4.6564040595111704</v>
      </c>
      <c r="AE200" s="76">
        <f t="shared" si="59"/>
        <v>3.2394177193585008</v>
      </c>
      <c r="AF200" s="76">
        <f t="shared" si="59"/>
        <v>3.1056499687497081</v>
      </c>
      <c r="AG200" s="76">
        <f t="shared" si="59"/>
        <v>2.9000851413640416</v>
      </c>
      <c r="AH200" s="76">
        <f t="shared" si="59"/>
        <v>2.8327886186626583</v>
      </c>
      <c r="AI200" s="76">
        <f t="shared" si="59"/>
        <v>2.7777777777777781</v>
      </c>
      <c r="AJ200" s="76">
        <f t="shared" si="59"/>
        <v>5.1669653438161882</v>
      </c>
      <c r="AK200" s="76">
        <f t="shared" si="59"/>
        <v>4.3390275977259192</v>
      </c>
      <c r="AL200" s="76">
        <f t="shared" si="59"/>
        <v>4.5558942963490905</v>
      </c>
      <c r="AM200" s="76">
        <f t="shared" si="59"/>
        <v>5.0077101048110961</v>
      </c>
      <c r="AN200" s="76">
        <f t="shared" si="59"/>
        <v>5.2411006289203348</v>
      </c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</row>
    <row r="201" spans="4:72" s="59" customFormat="1" x14ac:dyDescent="0.25">
      <c r="D201" s="58"/>
      <c r="E201" s="75" t="s">
        <v>38</v>
      </c>
      <c r="F201" s="70">
        <v>7</v>
      </c>
      <c r="G201" s="70">
        <v>10</v>
      </c>
      <c r="H201" s="70">
        <v>10</v>
      </c>
      <c r="I201"/>
      <c r="J201" s="76">
        <f t="shared" si="60"/>
        <v>1.9641855032959654</v>
      </c>
      <c r="K201" s="76">
        <f t="shared" si="60"/>
        <v>4.4444444444444446</v>
      </c>
      <c r="L201" s="76">
        <f t="shared" si="60"/>
        <v>4.166666666666667</v>
      </c>
      <c r="M201" s="76">
        <f t="shared" si="60"/>
        <v>3.6111111111111112</v>
      </c>
      <c r="N201" s="76">
        <f t="shared" si="60"/>
        <v>3.3333333333333335</v>
      </c>
      <c r="O201" s="76">
        <f t="shared" si="60"/>
        <v>2.7777777777777781</v>
      </c>
      <c r="P201" s="76">
        <f t="shared" si="60"/>
        <v>138.88888888888889</v>
      </c>
      <c r="Q201" s="76">
        <f t="shared" si="60"/>
        <v>0.55555555555555558</v>
      </c>
      <c r="R201" s="76">
        <f t="shared" si="60"/>
        <v>0.83333333333333337</v>
      </c>
      <c r="S201" s="76">
        <f t="shared" si="60"/>
        <v>1.3888888888888891</v>
      </c>
      <c r="T201" s="76">
        <f t="shared" si="60"/>
        <v>1.6666666666666667</v>
      </c>
      <c r="U201" s="76">
        <f t="shared" si="60"/>
        <v>4.6564040595111704</v>
      </c>
      <c r="V201" s="76">
        <f t="shared" si="60"/>
        <v>4.3920523057894156</v>
      </c>
      <c r="W201" s="76">
        <f t="shared" si="60"/>
        <v>3.8689967436622559</v>
      </c>
      <c r="X201" s="76">
        <f t="shared" si="60"/>
        <v>3.6111111111111112</v>
      </c>
      <c r="Y201" s="76">
        <f t="shared" si="60"/>
        <v>3.1056499687497081</v>
      </c>
      <c r="Z201" s="76">
        <f t="shared" si="59"/>
        <v>1.3888888888888891</v>
      </c>
      <c r="AA201" s="76">
        <f t="shared" si="59"/>
        <v>1.4958791130929177</v>
      </c>
      <c r="AB201" s="76">
        <f t="shared" si="59"/>
        <v>1.6197088596792504</v>
      </c>
      <c r="AC201" s="76">
        <f t="shared" si="59"/>
        <v>1.9641855032959654</v>
      </c>
      <c r="AD201" s="76">
        <f t="shared" si="59"/>
        <v>2.1695137988629596</v>
      </c>
      <c r="AE201" s="76">
        <f t="shared" si="59"/>
        <v>5.2411006289203348</v>
      </c>
      <c r="AF201" s="76">
        <f t="shared" si="59"/>
        <v>5.0077101048110961</v>
      </c>
      <c r="AG201" s="76">
        <f t="shared" si="59"/>
        <v>4.5558942963490905</v>
      </c>
      <c r="AH201" s="76">
        <f t="shared" si="59"/>
        <v>4.3390275977259192</v>
      </c>
      <c r="AI201" s="76">
        <f t="shared" si="59"/>
        <v>3.9283710065919308</v>
      </c>
      <c r="AJ201" s="76">
        <f t="shared" si="59"/>
        <v>3.356401659331826</v>
      </c>
      <c r="AK201" s="76">
        <f t="shared" si="59"/>
        <v>2.8327886186626583</v>
      </c>
      <c r="AL201" s="76">
        <f t="shared" si="59"/>
        <v>2.9000851413640416</v>
      </c>
      <c r="AM201" s="76">
        <f t="shared" si="59"/>
        <v>3.1056499687497081</v>
      </c>
      <c r="AN201" s="76">
        <f t="shared" si="59"/>
        <v>3.2394177193585008</v>
      </c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</row>
    <row r="202" spans="4:72" s="59" customFormat="1" x14ac:dyDescent="0.25">
      <c r="D202" s="58"/>
      <c r="E202" s="75" t="s">
        <v>39</v>
      </c>
      <c r="F202" s="70">
        <v>8</v>
      </c>
      <c r="G202" s="70">
        <v>14</v>
      </c>
      <c r="H202" s="70">
        <v>10</v>
      </c>
      <c r="I202"/>
      <c r="J202" s="76">
        <f t="shared" si="60"/>
        <v>2.3895347964007296</v>
      </c>
      <c r="K202" s="76">
        <f t="shared" si="60"/>
        <v>5</v>
      </c>
      <c r="L202" s="76">
        <f t="shared" si="60"/>
        <v>4.7222222222222223</v>
      </c>
      <c r="M202" s="76">
        <f t="shared" si="60"/>
        <v>4.166666666666667</v>
      </c>
      <c r="N202" s="76">
        <f t="shared" si="60"/>
        <v>3.8888888888888893</v>
      </c>
      <c r="O202" s="76">
        <f t="shared" si="60"/>
        <v>3.3333333333333335</v>
      </c>
      <c r="P202" s="76">
        <f t="shared" si="60"/>
        <v>0.55555555555555558</v>
      </c>
      <c r="Q202" s="76">
        <f t="shared" si="60"/>
        <v>138.88888888888889</v>
      </c>
      <c r="R202" s="76">
        <f t="shared" si="60"/>
        <v>0.27777777777777779</v>
      </c>
      <c r="S202" s="76">
        <f t="shared" si="60"/>
        <v>0.83333333333333337</v>
      </c>
      <c r="T202" s="76">
        <f t="shared" si="60"/>
        <v>1.1111111111111112</v>
      </c>
      <c r="U202" s="76">
        <f t="shared" si="60"/>
        <v>5.1893171367415016</v>
      </c>
      <c r="V202" s="76">
        <f t="shared" si="60"/>
        <v>4.9222347629637087</v>
      </c>
      <c r="W202" s="76">
        <f t="shared" si="60"/>
        <v>4.3920523057894156</v>
      </c>
      <c r="X202" s="76">
        <f t="shared" si="60"/>
        <v>4.1294635409218072</v>
      </c>
      <c r="Y202" s="76">
        <f t="shared" si="60"/>
        <v>3.6111111111111112</v>
      </c>
      <c r="Z202" s="76">
        <f t="shared" si="59"/>
        <v>1.4958791130929177</v>
      </c>
      <c r="AA202" s="76">
        <f t="shared" si="59"/>
        <v>1.3888888888888891</v>
      </c>
      <c r="AB202" s="76">
        <f t="shared" si="59"/>
        <v>1.4163943093313291</v>
      </c>
      <c r="AC202" s="76">
        <f t="shared" si="59"/>
        <v>1.6197088596792504</v>
      </c>
      <c r="AD202" s="76">
        <f t="shared" si="59"/>
        <v>1.7786456215091249</v>
      </c>
      <c r="AE202" s="76">
        <f t="shared" si="59"/>
        <v>5.719794522770556</v>
      </c>
      <c r="AF202" s="76">
        <f t="shared" si="59"/>
        <v>5.4786341453655618</v>
      </c>
      <c r="AG202" s="76">
        <f t="shared" si="59"/>
        <v>5.0077101048110961</v>
      </c>
      <c r="AH202" s="76">
        <f t="shared" si="59"/>
        <v>4.7790695928014593</v>
      </c>
      <c r="AI202" s="76">
        <f t="shared" si="59"/>
        <v>4.3390275977259192</v>
      </c>
      <c r="AJ202" s="76">
        <f t="shared" si="59"/>
        <v>3.1671539586087167</v>
      </c>
      <c r="AK202" s="76">
        <f t="shared" si="59"/>
        <v>2.7777777777777781</v>
      </c>
      <c r="AL202" s="76">
        <f t="shared" si="59"/>
        <v>2.7916321169780254</v>
      </c>
      <c r="AM202" s="76">
        <f t="shared" si="59"/>
        <v>2.9000851413640416</v>
      </c>
      <c r="AN202" s="76">
        <f t="shared" si="59"/>
        <v>2.9917582261858353</v>
      </c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</row>
    <row r="203" spans="4:72" s="59" customFormat="1" x14ac:dyDescent="0.25">
      <c r="D203" s="58"/>
      <c r="E203" s="75" t="s">
        <v>40</v>
      </c>
      <c r="F203" s="70">
        <v>9</v>
      </c>
      <c r="G203" s="70">
        <v>16</v>
      </c>
      <c r="H203" s="70">
        <v>10</v>
      </c>
      <c r="I203"/>
      <c r="J203" s="76">
        <f t="shared" si="60"/>
        <v>2.6205503144601674</v>
      </c>
      <c r="K203" s="76">
        <f t="shared" si="60"/>
        <v>5.2777777777777777</v>
      </c>
      <c r="L203" s="76">
        <f t="shared" si="60"/>
        <v>5</v>
      </c>
      <c r="M203" s="76">
        <f t="shared" si="60"/>
        <v>4.4444444444444446</v>
      </c>
      <c r="N203" s="76">
        <f t="shared" si="60"/>
        <v>4.166666666666667</v>
      </c>
      <c r="O203" s="76">
        <f t="shared" si="60"/>
        <v>3.6111111111111112</v>
      </c>
      <c r="P203" s="76">
        <f t="shared" si="60"/>
        <v>0.83333333333333337</v>
      </c>
      <c r="Q203" s="76">
        <f t="shared" si="60"/>
        <v>0.27777777777777779</v>
      </c>
      <c r="R203" s="76">
        <f t="shared" si="60"/>
        <v>138.88888888888889</v>
      </c>
      <c r="S203" s="76">
        <f t="shared" si="60"/>
        <v>0.55555555555555558</v>
      </c>
      <c r="T203" s="76">
        <f t="shared" si="60"/>
        <v>0.83333333333333337</v>
      </c>
      <c r="U203" s="76">
        <f t="shared" si="60"/>
        <v>5.4574674178856943</v>
      </c>
      <c r="V203" s="76">
        <f t="shared" si="60"/>
        <v>5.1893171367415016</v>
      </c>
      <c r="W203" s="76">
        <f t="shared" si="60"/>
        <v>4.6564040595111704</v>
      </c>
      <c r="X203" s="76">
        <f t="shared" si="60"/>
        <v>4.3920523057894156</v>
      </c>
      <c r="Y203" s="76">
        <f t="shared" si="60"/>
        <v>3.8689967436622559</v>
      </c>
      <c r="Z203" s="76">
        <f t="shared" si="59"/>
        <v>1.6197088596792504</v>
      </c>
      <c r="AA203" s="76">
        <f t="shared" si="59"/>
        <v>1.4163943093313291</v>
      </c>
      <c r="AB203" s="76">
        <f t="shared" si="59"/>
        <v>1.3888888888888891</v>
      </c>
      <c r="AC203" s="76">
        <f t="shared" si="59"/>
        <v>1.4958791130929177</v>
      </c>
      <c r="AD203" s="76">
        <f t="shared" si="59"/>
        <v>1.6197088596792504</v>
      </c>
      <c r="AE203" s="76">
        <f t="shared" si="59"/>
        <v>5.964141820439969</v>
      </c>
      <c r="AF203" s="76">
        <f t="shared" si="59"/>
        <v>5.719794522770556</v>
      </c>
      <c r="AG203" s="76">
        <f t="shared" si="59"/>
        <v>5.2411006289203348</v>
      </c>
      <c r="AH203" s="76">
        <f t="shared" si="59"/>
        <v>5.0077101048110961</v>
      </c>
      <c r="AI203" s="76">
        <f t="shared" si="59"/>
        <v>4.5558942963490905</v>
      </c>
      <c r="AJ203" s="76">
        <f t="shared" si="59"/>
        <v>3.1056499687497081</v>
      </c>
      <c r="AK203" s="76">
        <f t="shared" si="59"/>
        <v>2.7916321169780254</v>
      </c>
      <c r="AL203" s="76">
        <f t="shared" si="59"/>
        <v>2.7777777777777781</v>
      </c>
      <c r="AM203" s="76">
        <f t="shared" si="59"/>
        <v>2.8327886186626583</v>
      </c>
      <c r="AN203" s="76">
        <f t="shared" si="59"/>
        <v>2.9000851413640416</v>
      </c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</row>
    <row r="204" spans="4:72" s="59" customFormat="1" x14ac:dyDescent="0.25">
      <c r="D204" s="58"/>
      <c r="E204" s="75" t="s">
        <v>41</v>
      </c>
      <c r="F204" s="70">
        <v>10</v>
      </c>
      <c r="G204" s="70">
        <v>20</v>
      </c>
      <c r="H204" s="70">
        <v>10</v>
      </c>
      <c r="I204"/>
      <c r="J204" s="76">
        <f t="shared" si="60"/>
        <v>3.1056499687497081</v>
      </c>
      <c r="K204" s="76">
        <f t="shared" si="60"/>
        <v>5.833333333333333</v>
      </c>
      <c r="L204" s="76">
        <f t="shared" si="60"/>
        <v>5.5555555555555562</v>
      </c>
      <c r="M204" s="76">
        <f t="shared" si="60"/>
        <v>5</v>
      </c>
      <c r="N204" s="76">
        <f t="shared" si="60"/>
        <v>4.7222222222222223</v>
      </c>
      <c r="O204" s="76">
        <f t="shared" si="60"/>
        <v>4.166666666666667</v>
      </c>
      <c r="P204" s="76">
        <f t="shared" si="60"/>
        <v>1.3888888888888891</v>
      </c>
      <c r="Q204" s="76">
        <f t="shared" si="60"/>
        <v>0.83333333333333337</v>
      </c>
      <c r="R204" s="76">
        <f t="shared" si="60"/>
        <v>0.55555555555555558</v>
      </c>
      <c r="S204" s="76">
        <f t="shared" si="60"/>
        <v>138.88888888888889</v>
      </c>
      <c r="T204" s="76">
        <f t="shared" si="60"/>
        <v>0.27777777777777779</v>
      </c>
      <c r="U204" s="76">
        <f t="shared" si="60"/>
        <v>5.9963980958119167</v>
      </c>
      <c r="V204" s="76">
        <f t="shared" si="60"/>
        <v>5.7265355911356401</v>
      </c>
      <c r="W204" s="76">
        <f t="shared" si="60"/>
        <v>5.1893171367415016</v>
      </c>
      <c r="X204" s="76">
        <f t="shared" si="60"/>
        <v>4.9222347629637087</v>
      </c>
      <c r="Y204" s="76">
        <f t="shared" si="60"/>
        <v>4.3920523057894156</v>
      </c>
      <c r="Z204" s="76">
        <f t="shared" si="59"/>
        <v>1.9641855032959654</v>
      </c>
      <c r="AA204" s="76">
        <f t="shared" si="59"/>
        <v>1.6197088596792504</v>
      </c>
      <c r="AB204" s="76">
        <f t="shared" si="59"/>
        <v>1.4958791130929177</v>
      </c>
      <c r="AC204" s="76">
        <f t="shared" si="59"/>
        <v>1.3888888888888891</v>
      </c>
      <c r="AD204" s="76">
        <f t="shared" si="59"/>
        <v>1.4163943093313291</v>
      </c>
      <c r="AE204" s="76">
        <f t="shared" si="59"/>
        <v>6.4609463053405598</v>
      </c>
      <c r="AF204" s="76">
        <f t="shared" si="59"/>
        <v>6.2112999374994162</v>
      </c>
      <c r="AG204" s="76">
        <f t="shared" si="59"/>
        <v>5.719794522770556</v>
      </c>
      <c r="AH204" s="76">
        <f t="shared" si="59"/>
        <v>5.4786341453655618</v>
      </c>
      <c r="AI204" s="76">
        <f t="shared" si="59"/>
        <v>5.0077101048110961</v>
      </c>
      <c r="AJ204" s="76">
        <f t="shared" si="59"/>
        <v>3.0555555555555558</v>
      </c>
      <c r="AK204" s="76">
        <f t="shared" si="59"/>
        <v>2.9000851413640416</v>
      </c>
      <c r="AL204" s="76">
        <f t="shared" si="59"/>
        <v>2.8327886186626583</v>
      </c>
      <c r="AM204" s="76">
        <f t="shared" si="59"/>
        <v>2.7777777777777781</v>
      </c>
      <c r="AN204" s="76">
        <f t="shared" si="59"/>
        <v>2.7916321169780254</v>
      </c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</row>
    <row r="205" spans="4:72" s="59" customFormat="1" x14ac:dyDescent="0.25">
      <c r="D205" s="58"/>
      <c r="E205" s="75" t="s">
        <v>42</v>
      </c>
      <c r="F205" s="70">
        <v>11</v>
      </c>
      <c r="G205" s="70">
        <v>22</v>
      </c>
      <c r="H205" s="70">
        <v>10</v>
      </c>
      <c r="I205"/>
      <c r="J205" s="76">
        <f t="shared" si="60"/>
        <v>3.356401659331826</v>
      </c>
      <c r="K205" s="76">
        <f t="shared" si="60"/>
        <v>6.1111111111111116</v>
      </c>
      <c r="L205" s="76">
        <f t="shared" si="60"/>
        <v>5.833333333333333</v>
      </c>
      <c r="M205" s="76">
        <f t="shared" si="60"/>
        <v>5.2777777777777777</v>
      </c>
      <c r="N205" s="76">
        <f t="shared" si="60"/>
        <v>5</v>
      </c>
      <c r="O205" s="76">
        <f t="shared" si="60"/>
        <v>4.4444444444444446</v>
      </c>
      <c r="P205" s="76">
        <f t="shared" si="60"/>
        <v>1.6666666666666667</v>
      </c>
      <c r="Q205" s="76">
        <f t="shared" si="60"/>
        <v>1.1111111111111112</v>
      </c>
      <c r="R205" s="76">
        <f t="shared" si="60"/>
        <v>0.83333333333333337</v>
      </c>
      <c r="S205" s="76">
        <f t="shared" si="60"/>
        <v>0.27777777777777779</v>
      </c>
      <c r="T205" s="76">
        <f t="shared" si="60"/>
        <v>138.88888888888889</v>
      </c>
      <c r="U205" s="76">
        <f t="shared" si="60"/>
        <v>6.2669523181547104</v>
      </c>
      <c r="V205" s="76">
        <f t="shared" si="60"/>
        <v>5.9963980958119167</v>
      </c>
      <c r="W205" s="76">
        <f t="shared" si="60"/>
        <v>5.4574674178856943</v>
      </c>
      <c r="X205" s="76">
        <f t="shared" si="60"/>
        <v>5.1893171367415016</v>
      </c>
      <c r="Y205" s="76">
        <f t="shared" si="60"/>
        <v>4.6564040595111704</v>
      </c>
      <c r="Z205" s="76">
        <f t="shared" si="59"/>
        <v>2.1695137988629596</v>
      </c>
      <c r="AA205" s="76">
        <f t="shared" si="59"/>
        <v>1.7786456215091249</v>
      </c>
      <c r="AB205" s="76">
        <f t="shared" si="59"/>
        <v>1.6197088596792504</v>
      </c>
      <c r="AC205" s="76">
        <f t="shared" si="59"/>
        <v>1.4163943093313291</v>
      </c>
      <c r="AD205" s="76">
        <f t="shared" si="59"/>
        <v>1.3888888888888891</v>
      </c>
      <c r="AE205" s="76">
        <f t="shared" si="59"/>
        <v>6.712803318663652</v>
      </c>
      <c r="AF205" s="76">
        <f t="shared" si="59"/>
        <v>6.4609463053405598</v>
      </c>
      <c r="AG205" s="76">
        <f t="shared" si="59"/>
        <v>5.964141820439969</v>
      </c>
      <c r="AH205" s="76">
        <f t="shared" si="59"/>
        <v>5.719794522770556</v>
      </c>
      <c r="AI205" s="76">
        <f t="shared" si="59"/>
        <v>5.2411006289203348</v>
      </c>
      <c r="AJ205" s="76">
        <f t="shared" si="59"/>
        <v>3.0681558381075731</v>
      </c>
      <c r="AK205" s="76">
        <f t="shared" si="59"/>
        <v>2.9917582261858353</v>
      </c>
      <c r="AL205" s="76">
        <f t="shared" si="59"/>
        <v>2.9000851413640416</v>
      </c>
      <c r="AM205" s="76">
        <f t="shared" si="59"/>
        <v>2.7916321169780254</v>
      </c>
      <c r="AN205" s="76">
        <f t="shared" si="59"/>
        <v>2.7777777777777781</v>
      </c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</row>
    <row r="206" spans="4:72" s="59" customFormat="1" x14ac:dyDescent="0.25">
      <c r="D206" s="58"/>
      <c r="E206" s="75" t="s">
        <v>43</v>
      </c>
      <c r="F206" s="70">
        <v>12</v>
      </c>
      <c r="G206" s="70">
        <v>-22</v>
      </c>
      <c r="H206" s="70">
        <v>20</v>
      </c>
      <c r="I206"/>
      <c r="J206" s="76">
        <f t="shared" si="60"/>
        <v>4.1294635409218072</v>
      </c>
      <c r="K206" s="76">
        <f t="shared" si="60"/>
        <v>1.3888888888888891</v>
      </c>
      <c r="L206" s="76">
        <f t="shared" si="60"/>
        <v>1.4163943093313291</v>
      </c>
      <c r="M206" s="76">
        <f t="shared" si="60"/>
        <v>1.6197088596792504</v>
      </c>
      <c r="N206" s="76">
        <f t="shared" si="60"/>
        <v>1.7786456215091249</v>
      </c>
      <c r="O206" s="76">
        <f t="shared" si="60"/>
        <v>2.1695137988629596</v>
      </c>
      <c r="P206" s="76">
        <f t="shared" si="60"/>
        <v>4.6564040595111704</v>
      </c>
      <c r="Q206" s="76">
        <f t="shared" si="60"/>
        <v>5.1893171367415016</v>
      </c>
      <c r="R206" s="76">
        <f t="shared" si="60"/>
        <v>5.4574674178856943</v>
      </c>
      <c r="S206" s="76">
        <f t="shared" si="60"/>
        <v>5.9963980958119167</v>
      </c>
      <c r="T206" s="76">
        <f t="shared" si="60"/>
        <v>6.2669523181547104</v>
      </c>
      <c r="U206" s="76">
        <f t="shared" si="60"/>
        <v>138.88888888888889</v>
      </c>
      <c r="V206" s="76">
        <f t="shared" si="60"/>
        <v>0.27777777777777779</v>
      </c>
      <c r="W206" s="76">
        <f t="shared" si="60"/>
        <v>0.83333333333333337</v>
      </c>
      <c r="X206" s="76">
        <f t="shared" si="60"/>
        <v>1.1111111111111112</v>
      </c>
      <c r="Y206" s="76">
        <f t="shared" si="60"/>
        <v>1.6666666666666667</v>
      </c>
      <c r="Z206" s="76">
        <f t="shared" si="59"/>
        <v>4.4444444444444446</v>
      </c>
      <c r="AA206" s="76">
        <f t="shared" si="59"/>
        <v>5</v>
      </c>
      <c r="AB206" s="76">
        <f t="shared" si="59"/>
        <v>5.2777777777777777</v>
      </c>
      <c r="AC206" s="76">
        <f t="shared" si="59"/>
        <v>5.833333333333333</v>
      </c>
      <c r="AD206" s="76">
        <f t="shared" si="59"/>
        <v>6.1111111111111116</v>
      </c>
      <c r="AE206" s="76">
        <f t="shared" si="59"/>
        <v>1.3888888888888891</v>
      </c>
      <c r="AF206" s="76">
        <f t="shared" si="59"/>
        <v>1.4163943093313291</v>
      </c>
      <c r="AG206" s="76">
        <f t="shared" si="59"/>
        <v>1.6197088596792504</v>
      </c>
      <c r="AH206" s="76">
        <f t="shared" si="59"/>
        <v>1.7786456215091249</v>
      </c>
      <c r="AI206" s="76">
        <f t="shared" si="59"/>
        <v>2.1695137988629596</v>
      </c>
      <c r="AJ206" s="76">
        <f t="shared" si="59"/>
        <v>6.0667582410670988</v>
      </c>
      <c r="AK206" s="76">
        <f t="shared" si="59"/>
        <v>5.1893171367415016</v>
      </c>
      <c r="AL206" s="76">
        <f t="shared" si="59"/>
        <v>5.4574674178856943</v>
      </c>
      <c r="AM206" s="76">
        <f t="shared" si="59"/>
        <v>5.9963980958119167</v>
      </c>
      <c r="AN206" s="76">
        <f t="shared" si="59"/>
        <v>6.2669523181547104</v>
      </c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</row>
    <row r="207" spans="4:72" s="59" customFormat="1" x14ac:dyDescent="0.25">
      <c r="D207" s="58"/>
      <c r="E207" s="75" t="s">
        <v>44</v>
      </c>
      <c r="F207" s="70">
        <v>13</v>
      </c>
      <c r="G207" s="70">
        <v>-20</v>
      </c>
      <c r="H207" s="70">
        <v>20</v>
      </c>
      <c r="I207"/>
      <c r="J207" s="76">
        <f t="shared" si="60"/>
        <v>3.9283710065919308</v>
      </c>
      <c r="K207" s="76">
        <f t="shared" si="60"/>
        <v>1.4163943093313291</v>
      </c>
      <c r="L207" s="76">
        <f t="shared" si="60"/>
        <v>1.3888888888888891</v>
      </c>
      <c r="M207" s="76">
        <f t="shared" si="60"/>
        <v>1.4958791130929177</v>
      </c>
      <c r="N207" s="76">
        <f t="shared" si="60"/>
        <v>1.6197088596792504</v>
      </c>
      <c r="O207" s="76">
        <f t="shared" si="60"/>
        <v>1.9641855032959654</v>
      </c>
      <c r="P207" s="76">
        <f t="shared" si="60"/>
        <v>4.3920523057894156</v>
      </c>
      <c r="Q207" s="76">
        <f t="shared" si="60"/>
        <v>4.9222347629637087</v>
      </c>
      <c r="R207" s="76">
        <f t="shared" si="60"/>
        <v>5.1893171367415016</v>
      </c>
      <c r="S207" s="76">
        <f t="shared" si="60"/>
        <v>5.7265355911356401</v>
      </c>
      <c r="T207" s="76">
        <f t="shared" si="60"/>
        <v>5.9963980958119167</v>
      </c>
      <c r="U207" s="76">
        <f t="shared" si="60"/>
        <v>0.27777777777777779</v>
      </c>
      <c r="V207" s="76">
        <f t="shared" si="60"/>
        <v>138.88888888888889</v>
      </c>
      <c r="W207" s="76">
        <f t="shared" si="60"/>
        <v>0.55555555555555558</v>
      </c>
      <c r="X207" s="76">
        <f t="shared" si="60"/>
        <v>0.83333333333333337</v>
      </c>
      <c r="Y207" s="76">
        <f t="shared" si="60"/>
        <v>1.3888888888888891</v>
      </c>
      <c r="Z207" s="76">
        <f t="shared" si="59"/>
        <v>4.166666666666667</v>
      </c>
      <c r="AA207" s="76">
        <f t="shared" si="59"/>
        <v>4.7222222222222223</v>
      </c>
      <c r="AB207" s="76">
        <f t="shared" si="59"/>
        <v>5</v>
      </c>
      <c r="AC207" s="76">
        <f t="shared" si="59"/>
        <v>5.5555555555555562</v>
      </c>
      <c r="AD207" s="76">
        <f t="shared" si="59"/>
        <v>5.833333333333333</v>
      </c>
      <c r="AE207" s="76">
        <f t="shared" si="59"/>
        <v>1.4163943093313291</v>
      </c>
      <c r="AF207" s="76">
        <f t="shared" si="59"/>
        <v>1.3888888888888891</v>
      </c>
      <c r="AG207" s="76">
        <f t="shared" si="59"/>
        <v>1.4958791130929177</v>
      </c>
      <c r="AH207" s="76">
        <f t="shared" si="59"/>
        <v>1.6197088596792504</v>
      </c>
      <c r="AI207" s="76">
        <f t="shared" si="59"/>
        <v>1.9641855032959654</v>
      </c>
      <c r="AJ207" s="76">
        <f t="shared" si="59"/>
        <v>5.8001702827280832</v>
      </c>
      <c r="AK207" s="76">
        <f t="shared" si="59"/>
        <v>4.9222347629637087</v>
      </c>
      <c r="AL207" s="76">
        <f t="shared" si="59"/>
        <v>5.1893171367415016</v>
      </c>
      <c r="AM207" s="76">
        <f t="shared" si="59"/>
        <v>5.7265355911356401</v>
      </c>
      <c r="AN207" s="76">
        <f t="shared" si="59"/>
        <v>5.9963980958119167</v>
      </c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</row>
    <row r="208" spans="4:72" s="59" customFormat="1" x14ac:dyDescent="0.25">
      <c r="D208" s="58"/>
      <c r="E208" s="75" t="s">
        <v>45</v>
      </c>
      <c r="F208" s="70">
        <v>14</v>
      </c>
      <c r="G208" s="70">
        <v>-16</v>
      </c>
      <c r="H208" s="70">
        <v>20</v>
      </c>
      <c r="I208"/>
      <c r="J208" s="76">
        <f t="shared" si="60"/>
        <v>3.5572912430182497</v>
      </c>
      <c r="K208" s="76">
        <f t="shared" si="60"/>
        <v>1.6197088596792504</v>
      </c>
      <c r="L208" s="76">
        <f t="shared" si="60"/>
        <v>1.4958791130929177</v>
      </c>
      <c r="M208" s="76">
        <f t="shared" si="60"/>
        <v>1.3888888888888891</v>
      </c>
      <c r="N208" s="76">
        <f t="shared" si="60"/>
        <v>1.4163943093313291</v>
      </c>
      <c r="O208" s="76">
        <f t="shared" si="60"/>
        <v>1.6197088596792504</v>
      </c>
      <c r="P208" s="76">
        <f t="shared" si="60"/>
        <v>3.8689967436622559</v>
      </c>
      <c r="Q208" s="76">
        <f t="shared" si="60"/>
        <v>4.3920523057894156</v>
      </c>
      <c r="R208" s="76">
        <f t="shared" si="60"/>
        <v>4.6564040595111704</v>
      </c>
      <c r="S208" s="76">
        <f t="shared" si="60"/>
        <v>5.1893171367415016</v>
      </c>
      <c r="T208" s="76">
        <f t="shared" si="60"/>
        <v>5.4574674178856943</v>
      </c>
      <c r="U208" s="76">
        <f t="shared" si="60"/>
        <v>0.83333333333333337</v>
      </c>
      <c r="V208" s="76">
        <f t="shared" si="60"/>
        <v>0.55555555555555558</v>
      </c>
      <c r="W208" s="76">
        <f t="shared" si="60"/>
        <v>138.88888888888889</v>
      </c>
      <c r="X208" s="76">
        <f t="shared" si="60"/>
        <v>0.27777777777777779</v>
      </c>
      <c r="Y208" s="76">
        <f t="shared" si="60"/>
        <v>0.83333333333333337</v>
      </c>
      <c r="Z208" s="76">
        <f t="shared" si="59"/>
        <v>3.6111111111111112</v>
      </c>
      <c r="AA208" s="76">
        <f t="shared" si="59"/>
        <v>4.166666666666667</v>
      </c>
      <c r="AB208" s="76">
        <f t="shared" si="59"/>
        <v>4.4444444444444446</v>
      </c>
      <c r="AC208" s="76">
        <f t="shared" si="59"/>
        <v>5</v>
      </c>
      <c r="AD208" s="76">
        <f t="shared" si="59"/>
        <v>5.2777777777777777</v>
      </c>
      <c r="AE208" s="76">
        <f t="shared" si="59"/>
        <v>1.6197088596792504</v>
      </c>
      <c r="AF208" s="76">
        <f t="shared" si="59"/>
        <v>1.4958791130929177</v>
      </c>
      <c r="AG208" s="76">
        <f t="shared" si="59"/>
        <v>1.3888888888888891</v>
      </c>
      <c r="AH208" s="76">
        <f t="shared" si="59"/>
        <v>1.4163943093313291</v>
      </c>
      <c r="AI208" s="76">
        <f t="shared" si="59"/>
        <v>1.6197088596792504</v>
      </c>
      <c r="AJ208" s="76">
        <f t="shared" si="59"/>
        <v>5.2704627669472996</v>
      </c>
      <c r="AK208" s="76">
        <f t="shared" si="59"/>
        <v>4.3920523057894156</v>
      </c>
      <c r="AL208" s="76">
        <f t="shared" si="59"/>
        <v>4.6564040595111704</v>
      </c>
      <c r="AM208" s="76">
        <f t="shared" si="59"/>
        <v>5.1893171367415016</v>
      </c>
      <c r="AN208" s="76">
        <f t="shared" si="59"/>
        <v>5.4574674178856943</v>
      </c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</row>
    <row r="209" spans="4:72" s="59" customFormat="1" x14ac:dyDescent="0.25">
      <c r="D209" s="58"/>
      <c r="E209" s="75" t="s">
        <v>46</v>
      </c>
      <c r="F209" s="70">
        <v>15</v>
      </c>
      <c r="G209" s="70">
        <v>-14</v>
      </c>
      <c r="H209" s="70">
        <v>20</v>
      </c>
      <c r="I209"/>
      <c r="J209" s="76">
        <f t="shared" si="60"/>
        <v>3.3907098932593622</v>
      </c>
      <c r="K209" s="76">
        <f t="shared" si="60"/>
        <v>1.7786456215091249</v>
      </c>
      <c r="L209" s="76">
        <f t="shared" si="60"/>
        <v>1.6197088596792504</v>
      </c>
      <c r="M209" s="76">
        <f t="shared" si="60"/>
        <v>1.4163943093313291</v>
      </c>
      <c r="N209" s="76">
        <f t="shared" si="60"/>
        <v>1.3888888888888891</v>
      </c>
      <c r="O209" s="76">
        <f t="shared" si="60"/>
        <v>1.4958791130929177</v>
      </c>
      <c r="P209" s="76">
        <f t="shared" si="60"/>
        <v>3.6111111111111112</v>
      </c>
      <c r="Q209" s="76">
        <f t="shared" si="60"/>
        <v>4.1294635409218072</v>
      </c>
      <c r="R209" s="76">
        <f t="shared" si="60"/>
        <v>4.3920523057894156</v>
      </c>
      <c r="S209" s="76">
        <f t="shared" si="60"/>
        <v>4.9222347629637087</v>
      </c>
      <c r="T209" s="76">
        <f t="shared" si="60"/>
        <v>5.1893171367415016</v>
      </c>
      <c r="U209" s="76">
        <f t="shared" si="60"/>
        <v>1.1111111111111112</v>
      </c>
      <c r="V209" s="76">
        <f t="shared" si="60"/>
        <v>0.83333333333333337</v>
      </c>
      <c r="W209" s="76">
        <f t="shared" si="60"/>
        <v>0.27777777777777779</v>
      </c>
      <c r="X209" s="76">
        <f t="shared" si="60"/>
        <v>138.88888888888889</v>
      </c>
      <c r="Y209" s="76">
        <f t="shared" si="60"/>
        <v>0.55555555555555558</v>
      </c>
      <c r="Z209" s="76">
        <f t="shared" si="59"/>
        <v>3.3333333333333335</v>
      </c>
      <c r="AA209" s="76">
        <f t="shared" si="59"/>
        <v>3.8888888888888893</v>
      </c>
      <c r="AB209" s="76">
        <f t="shared" si="59"/>
        <v>4.166666666666667</v>
      </c>
      <c r="AC209" s="76">
        <f t="shared" si="59"/>
        <v>4.7222222222222223</v>
      </c>
      <c r="AD209" s="76">
        <f t="shared" si="59"/>
        <v>5</v>
      </c>
      <c r="AE209" s="76">
        <f t="shared" si="59"/>
        <v>1.7786456215091249</v>
      </c>
      <c r="AF209" s="76">
        <f t="shared" si="59"/>
        <v>1.6197088596792504</v>
      </c>
      <c r="AG209" s="76">
        <f t="shared" si="59"/>
        <v>1.4163943093313291</v>
      </c>
      <c r="AH209" s="76">
        <f t="shared" si="59"/>
        <v>1.3888888888888891</v>
      </c>
      <c r="AI209" s="76">
        <f t="shared" si="59"/>
        <v>1.4958791130929177</v>
      </c>
      <c r="AJ209" s="76">
        <f t="shared" si="59"/>
        <v>5.0077101048110961</v>
      </c>
      <c r="AK209" s="76">
        <f t="shared" si="59"/>
        <v>4.1294635409218072</v>
      </c>
      <c r="AL209" s="76">
        <f t="shared" si="59"/>
        <v>4.3920523057894156</v>
      </c>
      <c r="AM209" s="76">
        <f t="shared" si="59"/>
        <v>4.9222347629637087</v>
      </c>
      <c r="AN209" s="76">
        <f t="shared" si="59"/>
        <v>5.1893171367415016</v>
      </c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</row>
    <row r="210" spans="4:72" s="59" customFormat="1" x14ac:dyDescent="0.25">
      <c r="D210" s="58"/>
      <c r="E210" s="75" t="s">
        <v>47</v>
      </c>
      <c r="F210" s="70">
        <v>16</v>
      </c>
      <c r="G210" s="70">
        <v>-10</v>
      </c>
      <c r="H210" s="70">
        <v>20</v>
      </c>
      <c r="I210"/>
      <c r="J210" s="76">
        <f t="shared" si="60"/>
        <v>3.1056499687497081</v>
      </c>
      <c r="K210" s="76">
        <f t="shared" si="60"/>
        <v>2.1695137988629596</v>
      </c>
      <c r="L210" s="76">
        <f t="shared" si="60"/>
        <v>1.9641855032959654</v>
      </c>
      <c r="M210" s="76">
        <f t="shared" si="60"/>
        <v>1.6197088596792504</v>
      </c>
      <c r="N210" s="76">
        <f t="shared" si="60"/>
        <v>1.4958791130929177</v>
      </c>
      <c r="O210" s="76">
        <f t="shared" si="60"/>
        <v>1.3888888888888891</v>
      </c>
      <c r="P210" s="76">
        <f t="shared" si="60"/>
        <v>3.1056499687497081</v>
      </c>
      <c r="Q210" s="76">
        <f t="shared" si="60"/>
        <v>3.6111111111111112</v>
      </c>
      <c r="R210" s="76">
        <f t="shared" si="60"/>
        <v>3.8689967436622559</v>
      </c>
      <c r="S210" s="76">
        <f t="shared" si="60"/>
        <v>4.3920523057894156</v>
      </c>
      <c r="T210" s="76">
        <f t="shared" si="60"/>
        <v>4.6564040595111704</v>
      </c>
      <c r="U210" s="76">
        <f t="shared" si="60"/>
        <v>1.6666666666666667</v>
      </c>
      <c r="V210" s="76">
        <f t="shared" si="60"/>
        <v>1.3888888888888891</v>
      </c>
      <c r="W210" s="76">
        <f t="shared" si="60"/>
        <v>0.83333333333333337</v>
      </c>
      <c r="X210" s="76">
        <f t="shared" si="60"/>
        <v>0.55555555555555558</v>
      </c>
      <c r="Y210" s="76">
        <f t="shared" si="60"/>
        <v>138.88888888888889</v>
      </c>
      <c r="Z210" s="76">
        <f t="shared" si="59"/>
        <v>2.7777777777777781</v>
      </c>
      <c r="AA210" s="76">
        <f t="shared" si="59"/>
        <v>3.3333333333333335</v>
      </c>
      <c r="AB210" s="76">
        <f t="shared" si="59"/>
        <v>3.6111111111111112</v>
      </c>
      <c r="AC210" s="76">
        <f t="shared" si="59"/>
        <v>4.166666666666667</v>
      </c>
      <c r="AD210" s="76">
        <f t="shared" si="59"/>
        <v>4.4444444444444446</v>
      </c>
      <c r="AE210" s="76">
        <f t="shared" si="59"/>
        <v>2.1695137988629596</v>
      </c>
      <c r="AF210" s="76">
        <f t="shared" si="59"/>
        <v>1.9641855032959654</v>
      </c>
      <c r="AG210" s="76">
        <f t="shared" si="59"/>
        <v>1.6197088596792504</v>
      </c>
      <c r="AH210" s="76">
        <f t="shared" si="59"/>
        <v>1.4958791130929177</v>
      </c>
      <c r="AI210" s="76">
        <f t="shared" si="59"/>
        <v>1.3888888888888891</v>
      </c>
      <c r="AJ210" s="76">
        <f t="shared" si="59"/>
        <v>4.487637339278753</v>
      </c>
      <c r="AK210" s="76">
        <f t="shared" si="59"/>
        <v>3.6111111111111112</v>
      </c>
      <c r="AL210" s="76">
        <f t="shared" si="59"/>
        <v>3.8689967436622559</v>
      </c>
      <c r="AM210" s="76">
        <f t="shared" si="59"/>
        <v>4.3920523057894156</v>
      </c>
      <c r="AN210" s="76">
        <f t="shared" si="59"/>
        <v>4.6564040595111704</v>
      </c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</row>
    <row r="211" spans="4:72" s="59" customFormat="1" x14ac:dyDescent="0.25">
      <c r="D211" s="58"/>
      <c r="E211" s="75" t="s">
        <v>48</v>
      </c>
      <c r="F211" s="70">
        <v>17</v>
      </c>
      <c r="G211" s="70">
        <v>10</v>
      </c>
      <c r="H211" s="70">
        <v>20</v>
      </c>
      <c r="I211"/>
      <c r="J211" s="76">
        <f t="shared" si="60"/>
        <v>3.1056499687497081</v>
      </c>
      <c r="K211" s="76">
        <f t="shared" si="60"/>
        <v>4.6564040595111704</v>
      </c>
      <c r="L211" s="76">
        <f t="shared" si="60"/>
        <v>4.3920523057894156</v>
      </c>
      <c r="M211" s="76">
        <f t="shared" si="60"/>
        <v>3.8689967436622559</v>
      </c>
      <c r="N211" s="76">
        <f t="shared" si="60"/>
        <v>3.6111111111111112</v>
      </c>
      <c r="O211" s="76">
        <f t="shared" si="60"/>
        <v>3.1056499687497081</v>
      </c>
      <c r="P211" s="76">
        <f t="shared" si="60"/>
        <v>1.3888888888888891</v>
      </c>
      <c r="Q211" s="76">
        <f t="shared" si="60"/>
        <v>1.4958791130929177</v>
      </c>
      <c r="R211" s="76">
        <f t="shared" si="60"/>
        <v>1.6197088596792504</v>
      </c>
      <c r="S211" s="76">
        <f t="shared" si="60"/>
        <v>1.9641855032959654</v>
      </c>
      <c r="T211" s="76">
        <f t="shared" si="60"/>
        <v>2.1695137988629596</v>
      </c>
      <c r="U211" s="76">
        <f t="shared" si="60"/>
        <v>4.4444444444444446</v>
      </c>
      <c r="V211" s="76">
        <f t="shared" si="60"/>
        <v>4.166666666666667</v>
      </c>
      <c r="W211" s="76">
        <f t="shared" si="60"/>
        <v>3.6111111111111112</v>
      </c>
      <c r="X211" s="76">
        <f t="shared" si="60"/>
        <v>3.3333333333333335</v>
      </c>
      <c r="Y211" s="76">
        <f t="shared" ref="Y211:AN225" si="61">X25/6</f>
        <v>2.7777777777777781</v>
      </c>
      <c r="Z211" s="76">
        <f t="shared" si="61"/>
        <v>138.88888888888889</v>
      </c>
      <c r="AA211" s="76">
        <f t="shared" si="61"/>
        <v>0.55555555555555558</v>
      </c>
      <c r="AB211" s="76">
        <f t="shared" si="61"/>
        <v>0.83333333333333337</v>
      </c>
      <c r="AC211" s="76">
        <f t="shared" si="61"/>
        <v>1.3888888888888891</v>
      </c>
      <c r="AD211" s="76">
        <f t="shared" si="61"/>
        <v>1.6666666666666667</v>
      </c>
      <c r="AE211" s="76">
        <f t="shared" si="61"/>
        <v>4.6564040595111704</v>
      </c>
      <c r="AF211" s="76">
        <f t="shared" si="61"/>
        <v>4.3920523057894156</v>
      </c>
      <c r="AG211" s="76">
        <f t="shared" si="61"/>
        <v>3.8689967436622559</v>
      </c>
      <c r="AH211" s="76">
        <f t="shared" si="61"/>
        <v>3.6111111111111112</v>
      </c>
      <c r="AI211" s="76">
        <f t="shared" si="61"/>
        <v>3.1056499687497081</v>
      </c>
      <c r="AJ211" s="76">
        <f t="shared" si="61"/>
        <v>2.1695137988629596</v>
      </c>
      <c r="AK211" s="76">
        <f t="shared" si="61"/>
        <v>1.4958791130929177</v>
      </c>
      <c r="AL211" s="76">
        <f t="shared" si="61"/>
        <v>1.6197088596792504</v>
      </c>
      <c r="AM211" s="76">
        <f t="shared" si="61"/>
        <v>1.9641855032959654</v>
      </c>
      <c r="AN211" s="76">
        <f t="shared" si="61"/>
        <v>2.1695137988629596</v>
      </c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</row>
    <row r="212" spans="4:72" s="59" customFormat="1" x14ac:dyDescent="0.25">
      <c r="D212" s="58"/>
      <c r="E212" s="75" t="s">
        <v>49</v>
      </c>
      <c r="F212" s="70">
        <v>18</v>
      </c>
      <c r="G212" s="70">
        <v>14</v>
      </c>
      <c r="H212" s="70">
        <v>20</v>
      </c>
      <c r="I212"/>
      <c r="J212" s="76">
        <f t="shared" ref="J212:Y225" si="62">I26/6</f>
        <v>3.3907098932593622</v>
      </c>
      <c r="K212" s="76">
        <f t="shared" si="62"/>
        <v>5.1893171367415016</v>
      </c>
      <c r="L212" s="76">
        <f t="shared" si="62"/>
        <v>4.9222347629637087</v>
      </c>
      <c r="M212" s="76">
        <f t="shared" si="62"/>
        <v>4.3920523057894156</v>
      </c>
      <c r="N212" s="76">
        <f t="shared" si="62"/>
        <v>4.1294635409218072</v>
      </c>
      <c r="O212" s="76">
        <f t="shared" si="62"/>
        <v>3.6111111111111112</v>
      </c>
      <c r="P212" s="76">
        <f t="shared" si="62"/>
        <v>1.4958791130929177</v>
      </c>
      <c r="Q212" s="76">
        <f t="shared" si="62"/>
        <v>1.3888888888888891</v>
      </c>
      <c r="R212" s="76">
        <f t="shared" si="62"/>
        <v>1.4163943093313291</v>
      </c>
      <c r="S212" s="76">
        <f t="shared" si="62"/>
        <v>1.6197088596792504</v>
      </c>
      <c r="T212" s="76">
        <f t="shared" si="62"/>
        <v>1.7786456215091249</v>
      </c>
      <c r="U212" s="76">
        <f t="shared" si="62"/>
        <v>5</v>
      </c>
      <c r="V212" s="76">
        <f t="shared" si="62"/>
        <v>4.7222222222222223</v>
      </c>
      <c r="W212" s="76">
        <f t="shared" si="62"/>
        <v>4.166666666666667</v>
      </c>
      <c r="X212" s="76">
        <f t="shared" si="62"/>
        <v>3.8888888888888893</v>
      </c>
      <c r="Y212" s="76">
        <f t="shared" si="62"/>
        <v>3.3333333333333335</v>
      </c>
      <c r="Z212" s="76">
        <f t="shared" si="61"/>
        <v>0.55555555555555558</v>
      </c>
      <c r="AA212" s="76">
        <f t="shared" si="61"/>
        <v>138.88888888888889</v>
      </c>
      <c r="AB212" s="76">
        <f t="shared" si="61"/>
        <v>0.27777777777777779</v>
      </c>
      <c r="AC212" s="76">
        <f t="shared" si="61"/>
        <v>0.83333333333333337</v>
      </c>
      <c r="AD212" s="76">
        <f t="shared" si="61"/>
        <v>1.1111111111111112</v>
      </c>
      <c r="AE212" s="76">
        <f t="shared" si="61"/>
        <v>5.1893171367415016</v>
      </c>
      <c r="AF212" s="76">
        <f t="shared" si="61"/>
        <v>4.9222347629637087</v>
      </c>
      <c r="AG212" s="76">
        <f t="shared" si="61"/>
        <v>4.3920523057894156</v>
      </c>
      <c r="AH212" s="76">
        <f t="shared" si="61"/>
        <v>4.1294635409218072</v>
      </c>
      <c r="AI212" s="76">
        <f t="shared" si="61"/>
        <v>3.6111111111111112</v>
      </c>
      <c r="AJ212" s="76">
        <f t="shared" si="61"/>
        <v>1.8633899812498249</v>
      </c>
      <c r="AK212" s="76">
        <f t="shared" si="61"/>
        <v>1.3888888888888891</v>
      </c>
      <c r="AL212" s="76">
        <f t="shared" si="61"/>
        <v>1.4163943093313291</v>
      </c>
      <c r="AM212" s="76">
        <f t="shared" si="61"/>
        <v>1.6197088596792504</v>
      </c>
      <c r="AN212" s="76">
        <f t="shared" si="61"/>
        <v>1.7786456215091249</v>
      </c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</row>
    <row r="213" spans="4:72" s="59" customFormat="1" x14ac:dyDescent="0.25">
      <c r="D213" s="58"/>
      <c r="E213" s="75" t="s">
        <v>50</v>
      </c>
      <c r="F213" s="70">
        <v>19</v>
      </c>
      <c r="G213" s="70">
        <v>16</v>
      </c>
      <c r="H213" s="70">
        <v>20</v>
      </c>
      <c r="I213"/>
      <c r="J213" s="76">
        <f t="shared" si="62"/>
        <v>3.5572912430182497</v>
      </c>
      <c r="K213" s="76">
        <f t="shared" si="62"/>
        <v>5.4574674178856943</v>
      </c>
      <c r="L213" s="76">
        <f t="shared" si="62"/>
        <v>5.1893171367415016</v>
      </c>
      <c r="M213" s="76">
        <f t="shared" si="62"/>
        <v>4.6564040595111704</v>
      </c>
      <c r="N213" s="76">
        <f t="shared" si="62"/>
        <v>4.3920523057894156</v>
      </c>
      <c r="O213" s="76">
        <f t="shared" si="62"/>
        <v>3.8689967436622559</v>
      </c>
      <c r="P213" s="76">
        <f t="shared" si="62"/>
        <v>1.6197088596792504</v>
      </c>
      <c r="Q213" s="76">
        <f t="shared" si="62"/>
        <v>1.4163943093313291</v>
      </c>
      <c r="R213" s="76">
        <f t="shared" si="62"/>
        <v>1.3888888888888891</v>
      </c>
      <c r="S213" s="76">
        <f t="shared" si="62"/>
        <v>1.4958791130929177</v>
      </c>
      <c r="T213" s="76">
        <f t="shared" si="62"/>
        <v>1.6197088596792504</v>
      </c>
      <c r="U213" s="76">
        <f t="shared" si="62"/>
        <v>5.2777777777777777</v>
      </c>
      <c r="V213" s="76">
        <f t="shared" si="62"/>
        <v>5</v>
      </c>
      <c r="W213" s="76">
        <f t="shared" si="62"/>
        <v>4.4444444444444446</v>
      </c>
      <c r="X213" s="76">
        <f t="shared" si="62"/>
        <v>4.166666666666667</v>
      </c>
      <c r="Y213" s="76">
        <f t="shared" si="62"/>
        <v>3.6111111111111112</v>
      </c>
      <c r="Z213" s="76">
        <f t="shared" si="61"/>
        <v>0.83333333333333337</v>
      </c>
      <c r="AA213" s="76">
        <f t="shared" si="61"/>
        <v>0.27777777777777779</v>
      </c>
      <c r="AB213" s="76">
        <f t="shared" si="61"/>
        <v>138.88888888888889</v>
      </c>
      <c r="AC213" s="76">
        <f t="shared" si="61"/>
        <v>0.55555555555555558</v>
      </c>
      <c r="AD213" s="76">
        <f t="shared" si="61"/>
        <v>0.83333333333333337</v>
      </c>
      <c r="AE213" s="76">
        <f t="shared" si="61"/>
        <v>5.4574674178856943</v>
      </c>
      <c r="AF213" s="76">
        <f t="shared" si="61"/>
        <v>5.1893171367415016</v>
      </c>
      <c r="AG213" s="76">
        <f t="shared" si="61"/>
        <v>4.6564040595111704</v>
      </c>
      <c r="AH213" s="76">
        <f t="shared" si="61"/>
        <v>4.3920523057894156</v>
      </c>
      <c r="AI213" s="76">
        <f t="shared" si="61"/>
        <v>3.8689967436622559</v>
      </c>
      <c r="AJ213" s="76">
        <f t="shared" si="61"/>
        <v>1.7568209223157665</v>
      </c>
      <c r="AK213" s="76">
        <f t="shared" si="61"/>
        <v>1.4163943093313291</v>
      </c>
      <c r="AL213" s="76">
        <f t="shared" si="61"/>
        <v>1.3888888888888891</v>
      </c>
      <c r="AM213" s="76">
        <f t="shared" si="61"/>
        <v>1.4958791130929177</v>
      </c>
      <c r="AN213" s="76">
        <f t="shared" si="61"/>
        <v>1.6197088596792504</v>
      </c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</row>
    <row r="214" spans="4:72" s="59" customFormat="1" x14ac:dyDescent="0.25">
      <c r="D214" s="58"/>
      <c r="E214" s="75" t="s">
        <v>51</v>
      </c>
      <c r="F214" s="70">
        <v>20</v>
      </c>
      <c r="G214" s="70">
        <v>20</v>
      </c>
      <c r="H214" s="70">
        <v>20</v>
      </c>
      <c r="I214"/>
      <c r="J214" s="76">
        <f t="shared" si="62"/>
        <v>3.9283710065919308</v>
      </c>
      <c r="K214" s="76">
        <f t="shared" si="62"/>
        <v>5.9963980958119167</v>
      </c>
      <c r="L214" s="76">
        <f t="shared" si="62"/>
        <v>5.7265355911356401</v>
      </c>
      <c r="M214" s="76">
        <f t="shared" si="62"/>
        <v>5.1893171367415016</v>
      </c>
      <c r="N214" s="76">
        <f t="shared" si="62"/>
        <v>4.9222347629637087</v>
      </c>
      <c r="O214" s="76">
        <f t="shared" si="62"/>
        <v>4.3920523057894156</v>
      </c>
      <c r="P214" s="76">
        <f t="shared" si="62"/>
        <v>1.9641855032959654</v>
      </c>
      <c r="Q214" s="76">
        <f t="shared" si="62"/>
        <v>1.6197088596792504</v>
      </c>
      <c r="R214" s="76">
        <f t="shared" si="62"/>
        <v>1.4958791130929177</v>
      </c>
      <c r="S214" s="76">
        <f t="shared" si="62"/>
        <v>1.3888888888888891</v>
      </c>
      <c r="T214" s="76">
        <f t="shared" si="62"/>
        <v>1.4163943093313291</v>
      </c>
      <c r="U214" s="76">
        <f t="shared" si="62"/>
        <v>5.833333333333333</v>
      </c>
      <c r="V214" s="76">
        <f t="shared" si="62"/>
        <v>5.5555555555555562</v>
      </c>
      <c r="W214" s="76">
        <f t="shared" si="62"/>
        <v>5</v>
      </c>
      <c r="X214" s="76">
        <f t="shared" si="62"/>
        <v>4.7222222222222223</v>
      </c>
      <c r="Y214" s="76">
        <f t="shared" si="62"/>
        <v>4.166666666666667</v>
      </c>
      <c r="Z214" s="76">
        <f t="shared" si="61"/>
        <v>1.3888888888888891</v>
      </c>
      <c r="AA214" s="76">
        <f t="shared" si="61"/>
        <v>0.83333333333333337</v>
      </c>
      <c r="AB214" s="76">
        <f t="shared" si="61"/>
        <v>0.55555555555555558</v>
      </c>
      <c r="AC214" s="76">
        <f t="shared" si="61"/>
        <v>138.88888888888889</v>
      </c>
      <c r="AD214" s="76">
        <f t="shared" si="61"/>
        <v>0.27777777777777779</v>
      </c>
      <c r="AE214" s="76">
        <f t="shared" si="61"/>
        <v>5.9963980958119167</v>
      </c>
      <c r="AF214" s="76">
        <f t="shared" si="61"/>
        <v>5.7265355911356401</v>
      </c>
      <c r="AG214" s="76">
        <f t="shared" si="61"/>
        <v>5.1893171367415016</v>
      </c>
      <c r="AH214" s="76">
        <f t="shared" si="61"/>
        <v>4.9222347629637087</v>
      </c>
      <c r="AI214" s="76">
        <f t="shared" si="61"/>
        <v>4.3920523057894156</v>
      </c>
      <c r="AJ214" s="76">
        <f t="shared" si="61"/>
        <v>1.6666666666666667</v>
      </c>
      <c r="AK214" s="76">
        <f t="shared" si="61"/>
        <v>1.6197088596792504</v>
      </c>
      <c r="AL214" s="76">
        <f t="shared" si="61"/>
        <v>1.4958791130929177</v>
      </c>
      <c r="AM214" s="76">
        <f t="shared" si="61"/>
        <v>1.3888888888888891</v>
      </c>
      <c r="AN214" s="76">
        <f t="shared" si="61"/>
        <v>1.4163943093313291</v>
      </c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</row>
    <row r="215" spans="4:72" s="59" customFormat="1" x14ac:dyDescent="0.25">
      <c r="D215" s="58"/>
      <c r="E215" s="75" t="s">
        <v>52</v>
      </c>
      <c r="F215" s="70">
        <v>21</v>
      </c>
      <c r="G215" s="70">
        <v>22</v>
      </c>
      <c r="H215" s="70">
        <v>20</v>
      </c>
      <c r="I215"/>
      <c r="J215" s="76">
        <f t="shared" si="62"/>
        <v>4.1294635409218072</v>
      </c>
      <c r="K215" s="76">
        <f t="shared" si="62"/>
        <v>6.2669523181547104</v>
      </c>
      <c r="L215" s="76">
        <f t="shared" si="62"/>
        <v>5.9963980958119167</v>
      </c>
      <c r="M215" s="76">
        <f t="shared" si="62"/>
        <v>5.4574674178856943</v>
      </c>
      <c r="N215" s="76">
        <f t="shared" si="62"/>
        <v>5.1893171367415016</v>
      </c>
      <c r="O215" s="76">
        <f t="shared" si="62"/>
        <v>4.6564040595111704</v>
      </c>
      <c r="P215" s="76">
        <f t="shared" si="62"/>
        <v>2.1695137988629596</v>
      </c>
      <c r="Q215" s="76">
        <f t="shared" si="62"/>
        <v>1.7786456215091249</v>
      </c>
      <c r="R215" s="76">
        <f t="shared" si="62"/>
        <v>1.6197088596792504</v>
      </c>
      <c r="S215" s="76">
        <f t="shared" si="62"/>
        <v>1.4163943093313291</v>
      </c>
      <c r="T215" s="76">
        <f t="shared" si="62"/>
        <v>1.3888888888888891</v>
      </c>
      <c r="U215" s="76">
        <f t="shared" si="62"/>
        <v>6.1111111111111116</v>
      </c>
      <c r="V215" s="76">
        <f t="shared" si="62"/>
        <v>5.833333333333333</v>
      </c>
      <c r="W215" s="76">
        <f t="shared" si="62"/>
        <v>5.2777777777777777</v>
      </c>
      <c r="X215" s="76">
        <f t="shared" si="62"/>
        <v>5</v>
      </c>
      <c r="Y215" s="76">
        <f t="shared" si="62"/>
        <v>4.4444444444444446</v>
      </c>
      <c r="Z215" s="76">
        <f t="shared" si="61"/>
        <v>1.6666666666666667</v>
      </c>
      <c r="AA215" s="76">
        <f t="shared" si="61"/>
        <v>1.1111111111111112</v>
      </c>
      <c r="AB215" s="76">
        <f t="shared" si="61"/>
        <v>0.83333333333333337</v>
      </c>
      <c r="AC215" s="76">
        <f t="shared" si="61"/>
        <v>0.27777777777777779</v>
      </c>
      <c r="AD215" s="76">
        <f t="shared" si="61"/>
        <v>138.88888888888889</v>
      </c>
      <c r="AE215" s="76">
        <f t="shared" si="61"/>
        <v>6.2669523181547104</v>
      </c>
      <c r="AF215" s="76">
        <f t="shared" si="61"/>
        <v>5.9963980958119167</v>
      </c>
      <c r="AG215" s="76">
        <f t="shared" si="61"/>
        <v>5.4574674178856943</v>
      </c>
      <c r="AH215" s="76">
        <f t="shared" si="61"/>
        <v>5.1893171367415016</v>
      </c>
      <c r="AI215" s="76">
        <f t="shared" si="61"/>
        <v>4.6564040595111704</v>
      </c>
      <c r="AJ215" s="76">
        <f t="shared" si="61"/>
        <v>1.6896562584161721</v>
      </c>
      <c r="AK215" s="76">
        <f t="shared" si="61"/>
        <v>1.7786456215091249</v>
      </c>
      <c r="AL215" s="76">
        <f t="shared" si="61"/>
        <v>1.6197088596792504</v>
      </c>
      <c r="AM215" s="76">
        <f t="shared" si="61"/>
        <v>1.4163943093313291</v>
      </c>
      <c r="AN215" s="76">
        <f t="shared" si="61"/>
        <v>1.3888888888888891</v>
      </c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</row>
    <row r="216" spans="4:72" s="59" customFormat="1" x14ac:dyDescent="0.25">
      <c r="D216" s="58"/>
      <c r="E216" s="75" t="s">
        <v>53</v>
      </c>
      <c r="F216" s="70">
        <v>22</v>
      </c>
      <c r="G216" s="70">
        <v>-22</v>
      </c>
      <c r="H216" s="70">
        <v>30</v>
      </c>
      <c r="I216"/>
      <c r="J216" s="76">
        <f t="shared" si="62"/>
        <v>5.1669653438161882</v>
      </c>
      <c r="K216" s="76">
        <f t="shared" si="62"/>
        <v>2.7777777777777781</v>
      </c>
      <c r="L216" s="76">
        <f t="shared" si="62"/>
        <v>2.7916321169780254</v>
      </c>
      <c r="M216" s="76">
        <f t="shared" si="62"/>
        <v>2.9000851413640416</v>
      </c>
      <c r="N216" s="76">
        <f t="shared" si="62"/>
        <v>2.9917582261858353</v>
      </c>
      <c r="O216" s="76">
        <f t="shared" si="62"/>
        <v>3.2394177193585008</v>
      </c>
      <c r="P216" s="76">
        <f t="shared" si="62"/>
        <v>5.2411006289203348</v>
      </c>
      <c r="Q216" s="76">
        <f t="shared" si="62"/>
        <v>5.719794522770556</v>
      </c>
      <c r="R216" s="76">
        <f t="shared" si="62"/>
        <v>5.964141820439969</v>
      </c>
      <c r="S216" s="76">
        <f t="shared" si="62"/>
        <v>6.4609463053405598</v>
      </c>
      <c r="T216" s="76">
        <f t="shared" si="62"/>
        <v>6.712803318663652</v>
      </c>
      <c r="U216" s="76">
        <f t="shared" si="62"/>
        <v>1.3888888888888891</v>
      </c>
      <c r="V216" s="76">
        <f t="shared" si="62"/>
        <v>1.4163943093313291</v>
      </c>
      <c r="W216" s="76">
        <f t="shared" si="62"/>
        <v>1.6197088596792504</v>
      </c>
      <c r="X216" s="76">
        <f t="shared" si="62"/>
        <v>1.7786456215091249</v>
      </c>
      <c r="Y216" s="76">
        <f t="shared" si="62"/>
        <v>2.1695137988629596</v>
      </c>
      <c r="Z216" s="76">
        <f t="shared" si="61"/>
        <v>4.6564040595111704</v>
      </c>
      <c r="AA216" s="76">
        <f t="shared" si="61"/>
        <v>5.1893171367415016</v>
      </c>
      <c r="AB216" s="76">
        <f t="shared" si="61"/>
        <v>5.4574674178856943</v>
      </c>
      <c r="AC216" s="76">
        <f t="shared" si="61"/>
        <v>5.9963980958119167</v>
      </c>
      <c r="AD216" s="76">
        <f t="shared" si="61"/>
        <v>6.2669523181547104</v>
      </c>
      <c r="AE216" s="76">
        <f t="shared" si="61"/>
        <v>138.88888888888889</v>
      </c>
      <c r="AF216" s="76">
        <f t="shared" si="61"/>
        <v>0.27777777777777779</v>
      </c>
      <c r="AG216" s="76">
        <f t="shared" si="61"/>
        <v>0.83333333333333337</v>
      </c>
      <c r="AH216" s="76">
        <f t="shared" si="61"/>
        <v>1.1111111111111112</v>
      </c>
      <c r="AI216" s="76">
        <f t="shared" si="61"/>
        <v>1.6666666666666667</v>
      </c>
      <c r="AJ216" s="76">
        <f t="shared" si="61"/>
        <v>5.8399433448968443</v>
      </c>
      <c r="AK216" s="76">
        <f t="shared" si="61"/>
        <v>5</v>
      </c>
      <c r="AL216" s="76">
        <f t="shared" si="61"/>
        <v>5.2777777777777777</v>
      </c>
      <c r="AM216" s="76">
        <f t="shared" si="61"/>
        <v>5.833333333333333</v>
      </c>
      <c r="AN216" s="76">
        <f t="shared" si="61"/>
        <v>6.1111111111111116</v>
      </c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</row>
    <row r="217" spans="4:72" s="59" customFormat="1" x14ac:dyDescent="0.25">
      <c r="D217" s="58"/>
      <c r="E217" s="75" t="s">
        <v>54</v>
      </c>
      <c r="F217" s="70">
        <v>23</v>
      </c>
      <c r="G217" s="70">
        <v>-20</v>
      </c>
      <c r="H217" s="70">
        <v>30</v>
      </c>
      <c r="I217"/>
      <c r="J217" s="76">
        <f t="shared" si="62"/>
        <v>5.0077101048110961</v>
      </c>
      <c r="K217" s="76">
        <f t="shared" si="62"/>
        <v>2.7916321169780254</v>
      </c>
      <c r="L217" s="76">
        <f t="shared" si="62"/>
        <v>2.7777777777777781</v>
      </c>
      <c r="M217" s="76">
        <f t="shared" si="62"/>
        <v>2.8327886186626583</v>
      </c>
      <c r="N217" s="76">
        <f t="shared" si="62"/>
        <v>2.9000851413640416</v>
      </c>
      <c r="O217" s="76">
        <f t="shared" si="62"/>
        <v>3.1056499687497081</v>
      </c>
      <c r="P217" s="76">
        <f t="shared" si="62"/>
        <v>5.0077101048110961</v>
      </c>
      <c r="Q217" s="76">
        <f t="shared" si="62"/>
        <v>5.4786341453655618</v>
      </c>
      <c r="R217" s="76">
        <f t="shared" si="62"/>
        <v>5.719794522770556</v>
      </c>
      <c r="S217" s="76">
        <f t="shared" si="62"/>
        <v>6.2112999374994162</v>
      </c>
      <c r="T217" s="76">
        <f t="shared" si="62"/>
        <v>6.4609463053405598</v>
      </c>
      <c r="U217" s="76">
        <f t="shared" si="62"/>
        <v>1.4163943093313291</v>
      </c>
      <c r="V217" s="76">
        <f t="shared" si="62"/>
        <v>1.3888888888888891</v>
      </c>
      <c r="W217" s="76">
        <f t="shared" si="62"/>
        <v>1.4958791130929177</v>
      </c>
      <c r="X217" s="76">
        <f t="shared" si="62"/>
        <v>1.6197088596792504</v>
      </c>
      <c r="Y217" s="76">
        <f t="shared" si="62"/>
        <v>1.9641855032959654</v>
      </c>
      <c r="Z217" s="76">
        <f t="shared" si="61"/>
        <v>4.3920523057894156</v>
      </c>
      <c r="AA217" s="76">
        <f t="shared" si="61"/>
        <v>4.9222347629637087</v>
      </c>
      <c r="AB217" s="76">
        <f t="shared" si="61"/>
        <v>5.1893171367415016</v>
      </c>
      <c r="AC217" s="76">
        <f t="shared" si="61"/>
        <v>5.7265355911356401</v>
      </c>
      <c r="AD217" s="76">
        <f t="shared" si="61"/>
        <v>5.9963980958119167</v>
      </c>
      <c r="AE217" s="76">
        <f t="shared" si="61"/>
        <v>0.27777777777777779</v>
      </c>
      <c r="AF217" s="76">
        <f t="shared" si="61"/>
        <v>138.88888888888889</v>
      </c>
      <c r="AG217" s="76">
        <f t="shared" si="61"/>
        <v>0.55555555555555558</v>
      </c>
      <c r="AH217" s="76">
        <f t="shared" si="61"/>
        <v>0.83333333333333337</v>
      </c>
      <c r="AI217" s="76">
        <f t="shared" si="61"/>
        <v>1.3888888888888891</v>
      </c>
      <c r="AJ217" s="76">
        <f t="shared" si="61"/>
        <v>5.5624956651391075</v>
      </c>
      <c r="AK217" s="76">
        <f t="shared" si="61"/>
        <v>4.7222222222222223</v>
      </c>
      <c r="AL217" s="76">
        <f t="shared" si="61"/>
        <v>5</v>
      </c>
      <c r="AM217" s="76">
        <f t="shared" si="61"/>
        <v>5.5555555555555562</v>
      </c>
      <c r="AN217" s="76">
        <f t="shared" si="61"/>
        <v>5.833333333333333</v>
      </c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</row>
    <row r="218" spans="4:72" s="59" customFormat="1" x14ac:dyDescent="0.25">
      <c r="D218" s="58"/>
      <c r="E218" s="75" t="s">
        <v>55</v>
      </c>
      <c r="F218" s="70">
        <v>24</v>
      </c>
      <c r="G218" s="70">
        <v>-16</v>
      </c>
      <c r="H218" s="70">
        <v>30</v>
      </c>
      <c r="I218"/>
      <c r="J218" s="76">
        <f t="shared" si="62"/>
        <v>4.7222222222222223</v>
      </c>
      <c r="K218" s="76">
        <f t="shared" si="62"/>
        <v>2.9000851413640416</v>
      </c>
      <c r="L218" s="76">
        <f t="shared" si="62"/>
        <v>2.8327886186626583</v>
      </c>
      <c r="M218" s="76">
        <f t="shared" si="62"/>
        <v>2.7777777777777781</v>
      </c>
      <c r="N218" s="76">
        <f t="shared" si="62"/>
        <v>2.7916321169780254</v>
      </c>
      <c r="O218" s="76">
        <f t="shared" si="62"/>
        <v>2.9000851413640416</v>
      </c>
      <c r="P218" s="76">
        <f t="shared" si="62"/>
        <v>4.5558942963490905</v>
      </c>
      <c r="Q218" s="76">
        <f t="shared" si="62"/>
        <v>5.0077101048110961</v>
      </c>
      <c r="R218" s="76">
        <f t="shared" si="62"/>
        <v>5.2411006289203348</v>
      </c>
      <c r="S218" s="76">
        <f t="shared" si="62"/>
        <v>5.719794522770556</v>
      </c>
      <c r="T218" s="76">
        <f t="shared" si="62"/>
        <v>5.964141820439969</v>
      </c>
      <c r="U218" s="76">
        <f t="shared" si="62"/>
        <v>1.6197088596792504</v>
      </c>
      <c r="V218" s="76">
        <f t="shared" si="62"/>
        <v>1.4958791130929177</v>
      </c>
      <c r="W218" s="76">
        <f t="shared" si="62"/>
        <v>1.3888888888888891</v>
      </c>
      <c r="X218" s="76">
        <f t="shared" si="62"/>
        <v>1.4163943093313291</v>
      </c>
      <c r="Y218" s="76">
        <f t="shared" si="62"/>
        <v>1.6197088596792504</v>
      </c>
      <c r="Z218" s="76">
        <f t="shared" si="61"/>
        <v>3.8689967436622559</v>
      </c>
      <c r="AA218" s="76">
        <f t="shared" si="61"/>
        <v>4.3920523057894156</v>
      </c>
      <c r="AB218" s="76">
        <f t="shared" si="61"/>
        <v>4.6564040595111704</v>
      </c>
      <c r="AC218" s="76">
        <f t="shared" si="61"/>
        <v>5.1893171367415016</v>
      </c>
      <c r="AD218" s="76">
        <f t="shared" si="61"/>
        <v>5.4574674178856943</v>
      </c>
      <c r="AE218" s="76">
        <f t="shared" si="61"/>
        <v>0.83333333333333337</v>
      </c>
      <c r="AF218" s="76">
        <f t="shared" si="61"/>
        <v>0.55555555555555558</v>
      </c>
      <c r="AG218" s="76">
        <f t="shared" si="61"/>
        <v>138.88888888888889</v>
      </c>
      <c r="AH218" s="76">
        <f t="shared" si="61"/>
        <v>0.27777777777777779</v>
      </c>
      <c r="AI218" s="76">
        <f t="shared" si="61"/>
        <v>0.83333333333333337</v>
      </c>
      <c r="AJ218" s="76">
        <f t="shared" si="61"/>
        <v>5.0077101048110961</v>
      </c>
      <c r="AK218" s="76">
        <f t="shared" si="61"/>
        <v>4.166666666666667</v>
      </c>
      <c r="AL218" s="76">
        <f t="shared" si="61"/>
        <v>4.4444444444444446</v>
      </c>
      <c r="AM218" s="76">
        <f t="shared" si="61"/>
        <v>5</v>
      </c>
      <c r="AN218" s="76">
        <f t="shared" si="61"/>
        <v>5.2777777777777777</v>
      </c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</row>
    <row r="219" spans="4:72" s="59" customFormat="1" x14ac:dyDescent="0.25">
      <c r="D219" s="58"/>
      <c r="E219" s="75" t="s">
        <v>56</v>
      </c>
      <c r="F219" s="70">
        <v>25</v>
      </c>
      <c r="G219" s="70">
        <v>-14</v>
      </c>
      <c r="H219" s="70">
        <v>30</v>
      </c>
      <c r="I219"/>
      <c r="J219" s="76">
        <f t="shared" si="62"/>
        <v>4.5980403770130138</v>
      </c>
      <c r="K219" s="76">
        <f t="shared" si="62"/>
        <v>2.9917582261858353</v>
      </c>
      <c r="L219" s="76">
        <f t="shared" si="62"/>
        <v>2.9000851413640416</v>
      </c>
      <c r="M219" s="76">
        <f t="shared" si="62"/>
        <v>2.7916321169780254</v>
      </c>
      <c r="N219" s="76">
        <f t="shared" si="62"/>
        <v>2.7777777777777781</v>
      </c>
      <c r="O219" s="76">
        <f t="shared" si="62"/>
        <v>2.8327886186626583</v>
      </c>
      <c r="P219" s="76">
        <f t="shared" si="62"/>
        <v>4.3390275977259192</v>
      </c>
      <c r="Q219" s="76">
        <f t="shared" si="62"/>
        <v>4.7790695928014593</v>
      </c>
      <c r="R219" s="76">
        <f t="shared" si="62"/>
        <v>5.0077101048110961</v>
      </c>
      <c r="S219" s="76">
        <f t="shared" si="62"/>
        <v>5.4786341453655618</v>
      </c>
      <c r="T219" s="76">
        <f t="shared" si="62"/>
        <v>5.719794522770556</v>
      </c>
      <c r="U219" s="76">
        <f t="shared" si="62"/>
        <v>1.7786456215091249</v>
      </c>
      <c r="V219" s="76">
        <f t="shared" si="62"/>
        <v>1.6197088596792504</v>
      </c>
      <c r="W219" s="76">
        <f t="shared" si="62"/>
        <v>1.4163943093313291</v>
      </c>
      <c r="X219" s="76">
        <f t="shared" si="62"/>
        <v>1.3888888888888891</v>
      </c>
      <c r="Y219" s="76">
        <f t="shared" si="62"/>
        <v>1.4958791130929177</v>
      </c>
      <c r="Z219" s="76">
        <f t="shared" si="61"/>
        <v>3.6111111111111112</v>
      </c>
      <c r="AA219" s="76">
        <f t="shared" si="61"/>
        <v>4.1294635409218072</v>
      </c>
      <c r="AB219" s="76">
        <f t="shared" si="61"/>
        <v>4.3920523057894156</v>
      </c>
      <c r="AC219" s="76">
        <f t="shared" si="61"/>
        <v>4.9222347629637087</v>
      </c>
      <c r="AD219" s="76">
        <f t="shared" si="61"/>
        <v>5.1893171367415016</v>
      </c>
      <c r="AE219" s="76">
        <f t="shared" si="61"/>
        <v>1.1111111111111112</v>
      </c>
      <c r="AF219" s="76">
        <f t="shared" si="61"/>
        <v>0.83333333333333337</v>
      </c>
      <c r="AG219" s="76">
        <f t="shared" si="61"/>
        <v>0.27777777777777779</v>
      </c>
      <c r="AH219" s="76">
        <f t="shared" si="61"/>
        <v>138.88888888888889</v>
      </c>
      <c r="AI219" s="76">
        <f t="shared" si="61"/>
        <v>0.55555555555555558</v>
      </c>
      <c r="AJ219" s="76">
        <f t="shared" si="61"/>
        <v>4.7303851016462231</v>
      </c>
      <c r="AK219" s="76">
        <f t="shared" si="61"/>
        <v>3.8888888888888893</v>
      </c>
      <c r="AL219" s="76">
        <f t="shared" si="61"/>
        <v>4.166666666666667</v>
      </c>
      <c r="AM219" s="76">
        <f t="shared" si="61"/>
        <v>4.7222222222222223</v>
      </c>
      <c r="AN219" s="76">
        <f t="shared" si="61"/>
        <v>5</v>
      </c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</row>
    <row r="220" spans="4:72" s="59" customFormat="1" x14ac:dyDescent="0.25">
      <c r="D220" s="58"/>
      <c r="E220" s="75" t="s">
        <v>57</v>
      </c>
      <c r="F220" s="70">
        <v>26</v>
      </c>
      <c r="G220" s="70">
        <v>-10</v>
      </c>
      <c r="H220" s="70">
        <v>30</v>
      </c>
      <c r="I220"/>
      <c r="J220" s="76">
        <f t="shared" si="62"/>
        <v>4.3920523057894156</v>
      </c>
      <c r="K220" s="76">
        <f t="shared" si="62"/>
        <v>3.2394177193585008</v>
      </c>
      <c r="L220" s="76">
        <f t="shared" si="62"/>
        <v>3.1056499687497081</v>
      </c>
      <c r="M220" s="76">
        <f t="shared" si="62"/>
        <v>2.9000851413640416</v>
      </c>
      <c r="N220" s="76">
        <f t="shared" si="62"/>
        <v>2.8327886186626583</v>
      </c>
      <c r="O220" s="76">
        <f t="shared" si="62"/>
        <v>2.7777777777777781</v>
      </c>
      <c r="P220" s="76">
        <f t="shared" si="62"/>
        <v>3.9283710065919308</v>
      </c>
      <c r="Q220" s="76">
        <f t="shared" si="62"/>
        <v>4.3390275977259192</v>
      </c>
      <c r="R220" s="76">
        <f t="shared" si="62"/>
        <v>4.5558942963490905</v>
      </c>
      <c r="S220" s="76">
        <f t="shared" si="62"/>
        <v>5.0077101048110961</v>
      </c>
      <c r="T220" s="76">
        <f t="shared" si="62"/>
        <v>5.2411006289203348</v>
      </c>
      <c r="U220" s="76">
        <f t="shared" si="62"/>
        <v>2.1695137988629596</v>
      </c>
      <c r="V220" s="76">
        <f t="shared" si="62"/>
        <v>1.9641855032959654</v>
      </c>
      <c r="W220" s="76">
        <f t="shared" si="62"/>
        <v>1.6197088596792504</v>
      </c>
      <c r="X220" s="76">
        <f t="shared" si="62"/>
        <v>1.4958791130929177</v>
      </c>
      <c r="Y220" s="76">
        <f t="shared" si="62"/>
        <v>1.3888888888888891</v>
      </c>
      <c r="Z220" s="76">
        <f t="shared" si="61"/>
        <v>3.1056499687497081</v>
      </c>
      <c r="AA220" s="76">
        <f t="shared" si="61"/>
        <v>3.6111111111111112</v>
      </c>
      <c r="AB220" s="76">
        <f t="shared" si="61"/>
        <v>3.8689967436622559</v>
      </c>
      <c r="AC220" s="76">
        <f t="shared" si="61"/>
        <v>4.3920523057894156</v>
      </c>
      <c r="AD220" s="76">
        <f t="shared" si="61"/>
        <v>4.6564040595111704</v>
      </c>
      <c r="AE220" s="76">
        <f t="shared" si="61"/>
        <v>1.6666666666666667</v>
      </c>
      <c r="AF220" s="76">
        <f t="shared" si="61"/>
        <v>1.3888888888888891</v>
      </c>
      <c r="AG220" s="76">
        <f t="shared" si="61"/>
        <v>0.83333333333333337</v>
      </c>
      <c r="AH220" s="76">
        <f t="shared" si="61"/>
        <v>0.55555555555555558</v>
      </c>
      <c r="AI220" s="76">
        <f t="shared" si="61"/>
        <v>138.88888888888889</v>
      </c>
      <c r="AJ220" s="76">
        <f t="shared" si="61"/>
        <v>4.1759156606591414</v>
      </c>
      <c r="AK220" s="76">
        <f t="shared" si="61"/>
        <v>3.3333333333333335</v>
      </c>
      <c r="AL220" s="76">
        <f t="shared" si="61"/>
        <v>3.6111111111111112</v>
      </c>
      <c r="AM220" s="76">
        <f t="shared" si="61"/>
        <v>4.166666666666667</v>
      </c>
      <c r="AN220" s="76">
        <f t="shared" si="61"/>
        <v>4.4444444444444446</v>
      </c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</row>
    <row r="221" spans="4:72" s="59" customFormat="1" x14ac:dyDescent="0.25">
      <c r="D221" s="58"/>
      <c r="E221" s="75" t="s">
        <v>58</v>
      </c>
      <c r="F221" s="70">
        <v>27</v>
      </c>
      <c r="G221" s="70">
        <v>20</v>
      </c>
      <c r="H221" s="70">
        <v>30</v>
      </c>
      <c r="I221"/>
      <c r="J221" s="76">
        <f t="shared" si="62"/>
        <v>5.2411006289203348</v>
      </c>
      <c r="K221" s="76">
        <f t="shared" si="62"/>
        <v>6.5851497728498316</v>
      </c>
      <c r="L221" s="76">
        <f t="shared" si="62"/>
        <v>6.3403956725074044</v>
      </c>
      <c r="M221" s="76">
        <f t="shared" si="62"/>
        <v>5.8597286415913858</v>
      </c>
      <c r="N221" s="76">
        <f t="shared" si="62"/>
        <v>5.6245713142546085</v>
      </c>
      <c r="O221" s="76">
        <f t="shared" si="62"/>
        <v>5.1669653438161882</v>
      </c>
      <c r="P221" s="76">
        <f t="shared" si="62"/>
        <v>3.356401659331826</v>
      </c>
      <c r="Q221" s="76">
        <f t="shared" si="62"/>
        <v>3.1671539586087167</v>
      </c>
      <c r="R221" s="76">
        <f t="shared" si="62"/>
        <v>3.1056499687497081</v>
      </c>
      <c r="S221" s="76">
        <f t="shared" si="62"/>
        <v>3.0555555555555558</v>
      </c>
      <c r="T221" s="76">
        <f t="shared" si="62"/>
        <v>3.0681558381075731</v>
      </c>
      <c r="U221" s="76">
        <f t="shared" si="62"/>
        <v>6.0667582410670988</v>
      </c>
      <c r="V221" s="76">
        <f t="shared" si="62"/>
        <v>5.8001702827280832</v>
      </c>
      <c r="W221" s="76">
        <f t="shared" si="62"/>
        <v>5.2704627669472996</v>
      </c>
      <c r="X221" s="76">
        <f t="shared" si="62"/>
        <v>5.0077101048110961</v>
      </c>
      <c r="Y221" s="76">
        <f t="shared" si="62"/>
        <v>4.487637339278753</v>
      </c>
      <c r="Z221" s="76">
        <f t="shared" si="61"/>
        <v>2.1695137988629596</v>
      </c>
      <c r="AA221" s="76">
        <f t="shared" si="61"/>
        <v>1.8633899812498249</v>
      </c>
      <c r="AB221" s="76">
        <f t="shared" si="61"/>
        <v>1.7568209223157665</v>
      </c>
      <c r="AC221" s="76">
        <f t="shared" si="61"/>
        <v>1.6666666666666667</v>
      </c>
      <c r="AD221" s="76">
        <f t="shared" si="61"/>
        <v>1.6896562584161721</v>
      </c>
      <c r="AE221" s="76">
        <f t="shared" si="61"/>
        <v>5.8399433448968443</v>
      </c>
      <c r="AF221" s="76">
        <f t="shared" si="61"/>
        <v>5.5624956651391075</v>
      </c>
      <c r="AG221" s="76">
        <f t="shared" si="61"/>
        <v>5.0077101048110961</v>
      </c>
      <c r="AH221" s="76">
        <f t="shared" si="61"/>
        <v>4.7303851016462231</v>
      </c>
      <c r="AI221" s="76">
        <f t="shared" si="61"/>
        <v>4.1759156606591414</v>
      </c>
      <c r="AJ221" s="76">
        <f t="shared" si="61"/>
        <v>138.88888888888889</v>
      </c>
      <c r="AK221" s="76">
        <f t="shared" si="61"/>
        <v>0.87841046115788324</v>
      </c>
      <c r="AL221" s="76">
        <f t="shared" si="61"/>
        <v>0.6211299937499416</v>
      </c>
      <c r="AM221" s="76">
        <f t="shared" si="61"/>
        <v>0.27777777777777779</v>
      </c>
      <c r="AN221" s="76">
        <f t="shared" si="61"/>
        <v>0.39283710065919308</v>
      </c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</row>
    <row r="222" spans="4:72" s="59" customFormat="1" x14ac:dyDescent="0.25">
      <c r="D222" s="58"/>
      <c r="E222" s="75" t="s">
        <v>59</v>
      </c>
      <c r="F222" s="70">
        <v>28</v>
      </c>
      <c r="G222" s="70">
        <v>14</v>
      </c>
      <c r="H222" s="70">
        <v>30</v>
      </c>
      <c r="I222"/>
      <c r="J222" s="76">
        <f t="shared" si="62"/>
        <v>4.5980403770130138</v>
      </c>
      <c r="K222" s="76">
        <f t="shared" si="62"/>
        <v>5.719794522770556</v>
      </c>
      <c r="L222" s="76">
        <f t="shared" si="62"/>
        <v>5.4786341453655618</v>
      </c>
      <c r="M222" s="76">
        <f t="shared" si="62"/>
        <v>5.0077101048110961</v>
      </c>
      <c r="N222" s="76">
        <f t="shared" si="62"/>
        <v>4.7790695928014593</v>
      </c>
      <c r="O222" s="76">
        <f t="shared" si="62"/>
        <v>4.3390275977259192</v>
      </c>
      <c r="P222" s="76">
        <f t="shared" si="62"/>
        <v>2.8327886186626583</v>
      </c>
      <c r="Q222" s="76">
        <f t="shared" si="62"/>
        <v>2.7777777777777781</v>
      </c>
      <c r="R222" s="76">
        <f t="shared" si="62"/>
        <v>2.7916321169780254</v>
      </c>
      <c r="S222" s="76">
        <f t="shared" si="62"/>
        <v>2.9000851413640416</v>
      </c>
      <c r="T222" s="76">
        <f t="shared" si="62"/>
        <v>2.9917582261858353</v>
      </c>
      <c r="U222" s="76">
        <f t="shared" si="62"/>
        <v>5.1893171367415016</v>
      </c>
      <c r="V222" s="76">
        <f t="shared" si="62"/>
        <v>4.9222347629637087</v>
      </c>
      <c r="W222" s="76">
        <f t="shared" si="62"/>
        <v>4.3920523057894156</v>
      </c>
      <c r="X222" s="76">
        <f t="shared" si="62"/>
        <v>4.1294635409218072</v>
      </c>
      <c r="Y222" s="76">
        <f t="shared" si="62"/>
        <v>3.6111111111111112</v>
      </c>
      <c r="Z222" s="76">
        <f t="shared" si="61"/>
        <v>1.4958791130929177</v>
      </c>
      <c r="AA222" s="76">
        <f t="shared" si="61"/>
        <v>1.3888888888888891</v>
      </c>
      <c r="AB222" s="76">
        <f t="shared" si="61"/>
        <v>1.4163943093313291</v>
      </c>
      <c r="AC222" s="76">
        <f t="shared" si="61"/>
        <v>1.6197088596792504</v>
      </c>
      <c r="AD222" s="76">
        <f t="shared" si="61"/>
        <v>1.7786456215091249</v>
      </c>
      <c r="AE222" s="76">
        <f t="shared" si="61"/>
        <v>5</v>
      </c>
      <c r="AF222" s="76">
        <f t="shared" si="61"/>
        <v>4.7222222222222223</v>
      </c>
      <c r="AG222" s="76">
        <f t="shared" si="61"/>
        <v>4.166666666666667</v>
      </c>
      <c r="AH222" s="76">
        <f t="shared" si="61"/>
        <v>3.8888888888888893</v>
      </c>
      <c r="AI222" s="76">
        <f t="shared" si="61"/>
        <v>3.3333333333333335</v>
      </c>
      <c r="AJ222" s="76">
        <f t="shared" si="61"/>
        <v>0.87841046115788324</v>
      </c>
      <c r="AK222" s="76">
        <f t="shared" si="61"/>
        <v>138.88888888888889</v>
      </c>
      <c r="AL222" s="76">
        <f t="shared" si="61"/>
        <v>0.27777777777777779</v>
      </c>
      <c r="AM222" s="76">
        <f t="shared" si="61"/>
        <v>0.83333333333333337</v>
      </c>
      <c r="AN222" s="76">
        <f t="shared" si="61"/>
        <v>1.1111111111111112</v>
      </c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</row>
    <row r="223" spans="4:72" s="59" customFormat="1" x14ac:dyDescent="0.25">
      <c r="D223" s="58"/>
      <c r="E223" s="75" t="s">
        <v>60</v>
      </c>
      <c r="F223" s="70">
        <v>29</v>
      </c>
      <c r="G223" s="70">
        <v>16</v>
      </c>
      <c r="H223" s="70">
        <v>30</v>
      </c>
      <c r="I223"/>
      <c r="J223" s="76">
        <f t="shared" si="62"/>
        <v>4.7222222222222223</v>
      </c>
      <c r="K223" s="76">
        <f t="shared" si="62"/>
        <v>5.964141820439969</v>
      </c>
      <c r="L223" s="76">
        <f t="shared" si="62"/>
        <v>5.719794522770556</v>
      </c>
      <c r="M223" s="76">
        <f t="shared" si="62"/>
        <v>5.2411006289203348</v>
      </c>
      <c r="N223" s="76">
        <f t="shared" si="62"/>
        <v>5.0077101048110961</v>
      </c>
      <c r="O223" s="76">
        <f t="shared" si="62"/>
        <v>4.5558942963490905</v>
      </c>
      <c r="P223" s="76">
        <f t="shared" si="62"/>
        <v>2.9000851413640416</v>
      </c>
      <c r="Q223" s="76">
        <f t="shared" si="62"/>
        <v>2.7916321169780254</v>
      </c>
      <c r="R223" s="76">
        <f t="shared" si="62"/>
        <v>2.7777777777777781</v>
      </c>
      <c r="S223" s="76">
        <f t="shared" si="62"/>
        <v>2.8327886186626583</v>
      </c>
      <c r="T223" s="76">
        <f t="shared" si="62"/>
        <v>2.9000851413640416</v>
      </c>
      <c r="U223" s="76">
        <f t="shared" si="62"/>
        <v>5.4574674178856943</v>
      </c>
      <c r="V223" s="76">
        <f t="shared" si="62"/>
        <v>5.1893171367415016</v>
      </c>
      <c r="W223" s="76">
        <f t="shared" si="62"/>
        <v>4.6564040595111704</v>
      </c>
      <c r="X223" s="76">
        <f t="shared" si="62"/>
        <v>4.3920523057894156</v>
      </c>
      <c r="Y223" s="76">
        <f t="shared" si="62"/>
        <v>3.8689967436622559</v>
      </c>
      <c r="Z223" s="76">
        <f t="shared" si="61"/>
        <v>1.6197088596792504</v>
      </c>
      <c r="AA223" s="76">
        <f t="shared" si="61"/>
        <v>1.4163943093313291</v>
      </c>
      <c r="AB223" s="76">
        <f t="shared" si="61"/>
        <v>1.3888888888888891</v>
      </c>
      <c r="AC223" s="76">
        <f t="shared" si="61"/>
        <v>1.4958791130929177</v>
      </c>
      <c r="AD223" s="76">
        <f t="shared" si="61"/>
        <v>1.6197088596792504</v>
      </c>
      <c r="AE223" s="76">
        <f t="shared" si="61"/>
        <v>5.2777777777777777</v>
      </c>
      <c r="AF223" s="76">
        <f t="shared" si="61"/>
        <v>5</v>
      </c>
      <c r="AG223" s="76">
        <f t="shared" si="61"/>
        <v>4.4444444444444446</v>
      </c>
      <c r="AH223" s="76">
        <f t="shared" si="61"/>
        <v>4.166666666666667</v>
      </c>
      <c r="AI223" s="76">
        <f t="shared" si="61"/>
        <v>3.6111111111111112</v>
      </c>
      <c r="AJ223" s="76">
        <f t="shared" si="61"/>
        <v>0.6211299937499416</v>
      </c>
      <c r="AK223" s="76">
        <f t="shared" si="61"/>
        <v>0.27777777777777779</v>
      </c>
      <c r="AL223" s="76">
        <f t="shared" si="61"/>
        <v>138.88888888888889</v>
      </c>
      <c r="AM223" s="76">
        <f t="shared" si="61"/>
        <v>0.55555555555555558</v>
      </c>
      <c r="AN223" s="76">
        <f t="shared" si="61"/>
        <v>0.83333333333333337</v>
      </c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</row>
    <row r="224" spans="4:72" s="59" customFormat="1" x14ac:dyDescent="0.25">
      <c r="D224" s="58"/>
      <c r="E224" s="75" t="s">
        <v>61</v>
      </c>
      <c r="F224" s="70">
        <v>30</v>
      </c>
      <c r="G224" s="70">
        <v>20</v>
      </c>
      <c r="H224" s="70">
        <v>30</v>
      </c>
      <c r="I224"/>
      <c r="J224" s="76">
        <f t="shared" si="62"/>
        <v>5.0077101048110961</v>
      </c>
      <c r="K224" s="76">
        <f t="shared" si="62"/>
        <v>6.4609463053405598</v>
      </c>
      <c r="L224" s="76">
        <f t="shared" si="62"/>
        <v>6.2112999374994162</v>
      </c>
      <c r="M224" s="76">
        <f t="shared" si="62"/>
        <v>5.719794522770556</v>
      </c>
      <c r="N224" s="76">
        <f t="shared" si="62"/>
        <v>5.4786341453655618</v>
      </c>
      <c r="O224" s="76">
        <f t="shared" si="62"/>
        <v>5.0077101048110961</v>
      </c>
      <c r="P224" s="76">
        <f t="shared" si="62"/>
        <v>3.1056499687497081</v>
      </c>
      <c r="Q224" s="76">
        <f t="shared" si="62"/>
        <v>2.9000851413640416</v>
      </c>
      <c r="R224" s="76">
        <f t="shared" si="62"/>
        <v>2.8327886186626583</v>
      </c>
      <c r="S224" s="76">
        <f t="shared" si="62"/>
        <v>2.7777777777777781</v>
      </c>
      <c r="T224" s="76">
        <f t="shared" si="62"/>
        <v>2.7916321169780254</v>
      </c>
      <c r="U224" s="76">
        <f t="shared" si="62"/>
        <v>5.9963980958119167</v>
      </c>
      <c r="V224" s="76">
        <f t="shared" si="62"/>
        <v>5.7265355911356401</v>
      </c>
      <c r="W224" s="76">
        <f t="shared" si="62"/>
        <v>5.1893171367415016</v>
      </c>
      <c r="X224" s="76">
        <f t="shared" si="62"/>
        <v>4.9222347629637087</v>
      </c>
      <c r="Y224" s="76">
        <f t="shared" si="62"/>
        <v>4.3920523057894156</v>
      </c>
      <c r="Z224" s="76">
        <f t="shared" si="61"/>
        <v>1.9641855032959654</v>
      </c>
      <c r="AA224" s="76">
        <f t="shared" si="61"/>
        <v>1.6197088596792504</v>
      </c>
      <c r="AB224" s="76">
        <f t="shared" si="61"/>
        <v>1.4958791130929177</v>
      </c>
      <c r="AC224" s="76">
        <f t="shared" si="61"/>
        <v>1.3888888888888891</v>
      </c>
      <c r="AD224" s="76">
        <f t="shared" si="61"/>
        <v>1.4163943093313291</v>
      </c>
      <c r="AE224" s="76">
        <f t="shared" si="61"/>
        <v>5.833333333333333</v>
      </c>
      <c r="AF224" s="76">
        <f t="shared" si="61"/>
        <v>5.5555555555555562</v>
      </c>
      <c r="AG224" s="76">
        <f t="shared" si="61"/>
        <v>5</v>
      </c>
      <c r="AH224" s="76">
        <f t="shared" si="61"/>
        <v>4.7222222222222223</v>
      </c>
      <c r="AI224" s="76">
        <f t="shared" si="61"/>
        <v>4.166666666666667</v>
      </c>
      <c r="AJ224" s="76">
        <f t="shared" si="61"/>
        <v>0.27777777777777779</v>
      </c>
      <c r="AK224" s="76">
        <f t="shared" si="61"/>
        <v>0.83333333333333337</v>
      </c>
      <c r="AL224" s="76">
        <f t="shared" si="61"/>
        <v>0.55555555555555558</v>
      </c>
      <c r="AM224" s="76">
        <f t="shared" si="61"/>
        <v>138.88888888888889</v>
      </c>
      <c r="AN224" s="76">
        <f t="shared" si="61"/>
        <v>0.27777777777777779</v>
      </c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</row>
    <row r="225" spans="4:72" s="59" customFormat="1" x14ac:dyDescent="0.25">
      <c r="D225" s="58"/>
      <c r="E225" s="75" t="s">
        <v>62</v>
      </c>
      <c r="F225" s="70">
        <v>31</v>
      </c>
      <c r="G225" s="70">
        <v>22</v>
      </c>
      <c r="H225" s="70">
        <v>30</v>
      </c>
      <c r="I225"/>
      <c r="J225" s="76">
        <f t="shared" si="62"/>
        <v>5.1669653438161882</v>
      </c>
      <c r="K225" s="76">
        <f t="shared" si="62"/>
        <v>6.712803318663652</v>
      </c>
      <c r="L225" s="76">
        <f t="shared" si="62"/>
        <v>6.4609463053405598</v>
      </c>
      <c r="M225" s="76">
        <f t="shared" si="62"/>
        <v>5.964141820439969</v>
      </c>
      <c r="N225" s="76">
        <f t="shared" si="62"/>
        <v>5.719794522770556</v>
      </c>
      <c r="O225" s="76">
        <f t="shared" si="62"/>
        <v>5.2411006289203348</v>
      </c>
      <c r="P225" s="76">
        <f t="shared" si="62"/>
        <v>3.2394177193585008</v>
      </c>
      <c r="Q225" s="76">
        <f t="shared" si="62"/>
        <v>2.9917582261858353</v>
      </c>
      <c r="R225" s="76">
        <f t="shared" si="62"/>
        <v>2.9000851413640416</v>
      </c>
      <c r="S225" s="76">
        <f t="shared" si="62"/>
        <v>2.7916321169780254</v>
      </c>
      <c r="T225" s="76">
        <f t="shared" si="62"/>
        <v>2.7777777777777781</v>
      </c>
      <c r="U225" s="76">
        <f t="shared" si="62"/>
        <v>6.2669523181547104</v>
      </c>
      <c r="V225" s="76">
        <f t="shared" si="62"/>
        <v>5.9963980958119167</v>
      </c>
      <c r="W225" s="76">
        <f t="shared" si="62"/>
        <v>5.4574674178856943</v>
      </c>
      <c r="X225" s="76">
        <f t="shared" si="62"/>
        <v>5.1893171367415016</v>
      </c>
      <c r="Y225" s="76">
        <f t="shared" si="62"/>
        <v>4.6564040595111704</v>
      </c>
      <c r="Z225" s="76">
        <f t="shared" si="61"/>
        <v>2.1695137988629596</v>
      </c>
      <c r="AA225" s="76">
        <f t="shared" si="61"/>
        <v>1.7786456215091249</v>
      </c>
      <c r="AB225" s="76">
        <f t="shared" si="61"/>
        <v>1.6197088596792504</v>
      </c>
      <c r="AC225" s="76">
        <f t="shared" si="61"/>
        <v>1.4163943093313291</v>
      </c>
      <c r="AD225" s="76">
        <f t="shared" si="61"/>
        <v>1.3888888888888891</v>
      </c>
      <c r="AE225" s="76">
        <f t="shared" si="61"/>
        <v>6.1111111111111116</v>
      </c>
      <c r="AF225" s="76">
        <f t="shared" si="61"/>
        <v>5.833333333333333</v>
      </c>
      <c r="AG225" s="76">
        <f t="shared" si="61"/>
        <v>5.2777777777777777</v>
      </c>
      <c r="AH225" s="76">
        <f t="shared" si="61"/>
        <v>5</v>
      </c>
      <c r="AI225" s="76">
        <f t="shared" si="61"/>
        <v>4.4444444444444446</v>
      </c>
      <c r="AJ225" s="76">
        <f t="shared" si="61"/>
        <v>0.39283710065919308</v>
      </c>
      <c r="AK225" s="76">
        <f t="shared" si="61"/>
        <v>1.1111111111111112</v>
      </c>
      <c r="AL225" s="76">
        <f t="shared" si="61"/>
        <v>0.83333333333333337</v>
      </c>
      <c r="AM225" s="76">
        <f t="shared" si="61"/>
        <v>0.27777777777777779</v>
      </c>
      <c r="AN225" s="76">
        <f t="shared" si="61"/>
        <v>138.88888888888889</v>
      </c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</row>
    <row r="226" spans="4:72" s="59" customFormat="1" x14ac:dyDescent="0.25">
      <c r="D226" s="58"/>
      <c r="E226" s="58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</row>
    <row r="230" spans="4:72" x14ac:dyDescent="0.25">
      <c r="T230" s="115" t="s">
        <v>81</v>
      </c>
      <c r="U230" s="115"/>
      <c r="V230" s="115"/>
      <c r="W230" s="115"/>
      <c r="X230" s="115"/>
      <c r="Y230" s="115"/>
      <c r="Z230" s="115"/>
      <c r="AA230" s="115"/>
    </row>
    <row r="231" spans="4:72" x14ac:dyDescent="0.25">
      <c r="T231" s="115"/>
      <c r="U231" s="115"/>
      <c r="V231" s="115"/>
      <c r="W231" s="115"/>
      <c r="X231" s="115"/>
      <c r="Y231" s="115"/>
      <c r="Z231" s="115"/>
      <c r="AA231" s="115"/>
    </row>
    <row r="233" spans="4:72" x14ac:dyDescent="0.25">
      <c r="J233" s="8">
        <f>J195*60</f>
        <v>8333.3333333333339</v>
      </c>
      <c r="K233" s="8">
        <f t="shared" ref="K233:AN233" si="63">K195*60</f>
        <v>201.38409955990957</v>
      </c>
      <c r="L233" s="8">
        <f t="shared" si="63"/>
        <v>186.33899812498248</v>
      </c>
      <c r="M233" s="8">
        <f t="shared" si="63"/>
        <v>157.23301886761004</v>
      </c>
      <c r="N233" s="8">
        <f t="shared" si="63"/>
        <v>143.37208778404377</v>
      </c>
      <c r="O233" s="8">
        <f t="shared" si="63"/>
        <v>117.85113019775793</v>
      </c>
      <c r="P233" s="8">
        <f t="shared" si="63"/>
        <v>117.85113019775793</v>
      </c>
      <c r="Q233" s="8">
        <f t="shared" si="63"/>
        <v>143.37208778404377</v>
      </c>
      <c r="R233" s="8">
        <f t="shared" si="63"/>
        <v>157.23301886761004</v>
      </c>
      <c r="S233" s="8">
        <f t="shared" si="63"/>
        <v>186.33899812498248</v>
      </c>
      <c r="T233" s="8">
        <f t="shared" si="63"/>
        <v>201.38409955990957</v>
      </c>
      <c r="U233" s="8">
        <f t="shared" si="63"/>
        <v>247.76781245530844</v>
      </c>
      <c r="V233" s="8">
        <f t="shared" si="63"/>
        <v>235.70226039551585</v>
      </c>
      <c r="W233" s="8">
        <f t="shared" si="63"/>
        <v>213.43747458109499</v>
      </c>
      <c r="X233" s="8">
        <f t="shared" si="63"/>
        <v>203.44259359556173</v>
      </c>
      <c r="Y233" s="8">
        <f t="shared" si="63"/>
        <v>186.33899812498248</v>
      </c>
      <c r="Z233" s="8">
        <f t="shared" si="63"/>
        <v>186.33899812498248</v>
      </c>
      <c r="AA233" s="8">
        <f t="shared" si="63"/>
        <v>203.44259359556173</v>
      </c>
      <c r="AB233" s="8">
        <f t="shared" si="63"/>
        <v>213.43747458109499</v>
      </c>
      <c r="AC233" s="8">
        <f t="shared" si="63"/>
        <v>235.70226039551585</v>
      </c>
      <c r="AD233" s="8">
        <f t="shared" si="63"/>
        <v>247.76781245530844</v>
      </c>
      <c r="AE233" s="8">
        <f t="shared" si="63"/>
        <v>310.0179206289713</v>
      </c>
      <c r="AF233" s="8">
        <f t="shared" si="63"/>
        <v>300.46260628866577</v>
      </c>
      <c r="AG233" s="8">
        <f t="shared" si="63"/>
        <v>283.33333333333331</v>
      </c>
      <c r="AH233" s="8">
        <f t="shared" si="63"/>
        <v>275.88242262078086</v>
      </c>
      <c r="AI233" s="8">
        <f t="shared" si="63"/>
        <v>263.52313834736492</v>
      </c>
      <c r="AJ233" s="8">
        <f t="shared" si="63"/>
        <v>314.46603773522008</v>
      </c>
      <c r="AK233" s="8">
        <f t="shared" si="63"/>
        <v>275.88242262078086</v>
      </c>
      <c r="AL233" s="8">
        <f t="shared" si="63"/>
        <v>283.33333333333331</v>
      </c>
      <c r="AM233" s="8">
        <f t="shared" si="63"/>
        <v>300.46260628866577</v>
      </c>
      <c r="AN233" s="8">
        <f t="shared" si="63"/>
        <v>310.0179206289713</v>
      </c>
    </row>
    <row r="234" spans="4:72" x14ac:dyDescent="0.25">
      <c r="J234" s="8">
        <f t="shared" ref="J234:AN242" si="64">J196*60</f>
        <v>201.38409955990957</v>
      </c>
      <c r="K234" s="8">
        <f t="shared" si="64"/>
        <v>8333.3333333333339</v>
      </c>
      <c r="L234" s="8">
        <f t="shared" si="64"/>
        <v>16.666666666666668</v>
      </c>
      <c r="M234" s="8">
        <f t="shared" si="64"/>
        <v>50</v>
      </c>
      <c r="N234" s="8">
        <f t="shared" si="64"/>
        <v>66.666666666666671</v>
      </c>
      <c r="O234" s="8">
        <f t="shared" si="64"/>
        <v>100</v>
      </c>
      <c r="P234" s="8">
        <f t="shared" si="64"/>
        <v>266.66666666666669</v>
      </c>
      <c r="Q234" s="8">
        <f t="shared" si="64"/>
        <v>300</v>
      </c>
      <c r="R234" s="8">
        <f t="shared" si="64"/>
        <v>316.66666666666669</v>
      </c>
      <c r="S234" s="8">
        <f t="shared" si="64"/>
        <v>350</v>
      </c>
      <c r="T234" s="8">
        <f t="shared" si="64"/>
        <v>366.66666666666669</v>
      </c>
      <c r="U234" s="8">
        <f t="shared" si="64"/>
        <v>83.333333333333343</v>
      </c>
      <c r="V234" s="8">
        <f t="shared" si="64"/>
        <v>84.983658559879743</v>
      </c>
      <c r="W234" s="8">
        <f t="shared" si="64"/>
        <v>97.182531580755025</v>
      </c>
      <c r="X234" s="8">
        <f t="shared" si="64"/>
        <v>106.71873729054749</v>
      </c>
      <c r="Y234" s="8">
        <f t="shared" si="64"/>
        <v>130.17082793177758</v>
      </c>
      <c r="Z234" s="8">
        <f t="shared" si="64"/>
        <v>279.38424357067021</v>
      </c>
      <c r="AA234" s="8">
        <f t="shared" si="64"/>
        <v>311.35902820449007</v>
      </c>
      <c r="AB234" s="8">
        <f t="shared" si="64"/>
        <v>327.44804507314166</v>
      </c>
      <c r="AC234" s="8">
        <f t="shared" si="64"/>
        <v>359.78388574871502</v>
      </c>
      <c r="AD234" s="8">
        <f t="shared" si="64"/>
        <v>376.01713908928264</v>
      </c>
      <c r="AE234" s="8">
        <f t="shared" si="64"/>
        <v>166.66666666666669</v>
      </c>
      <c r="AF234" s="8">
        <f t="shared" si="64"/>
        <v>167.49792701868154</v>
      </c>
      <c r="AG234" s="8">
        <f t="shared" si="64"/>
        <v>174.00510848184248</v>
      </c>
      <c r="AH234" s="8">
        <f t="shared" si="64"/>
        <v>179.50549357115011</v>
      </c>
      <c r="AI234" s="8">
        <f t="shared" si="64"/>
        <v>194.36506316151005</v>
      </c>
      <c r="AJ234" s="8">
        <f t="shared" si="64"/>
        <v>395.1089863709899</v>
      </c>
      <c r="AK234" s="8">
        <f t="shared" si="64"/>
        <v>343.18767136623336</v>
      </c>
      <c r="AL234" s="8">
        <f t="shared" si="64"/>
        <v>357.84850922639816</v>
      </c>
      <c r="AM234" s="8">
        <f t="shared" si="64"/>
        <v>387.6567783204336</v>
      </c>
      <c r="AN234" s="8">
        <f t="shared" si="64"/>
        <v>402.76819911981914</v>
      </c>
    </row>
    <row r="235" spans="4:72" x14ac:dyDescent="0.25">
      <c r="J235" s="8">
        <f t="shared" si="64"/>
        <v>186.33899812498248</v>
      </c>
      <c r="K235" s="8">
        <f t="shared" si="64"/>
        <v>16.666666666666668</v>
      </c>
      <c r="L235" s="8">
        <f t="shared" si="64"/>
        <v>8333.3333333333339</v>
      </c>
      <c r="M235" s="8">
        <f t="shared" si="64"/>
        <v>33.333333333333336</v>
      </c>
      <c r="N235" s="8">
        <f t="shared" si="64"/>
        <v>50</v>
      </c>
      <c r="O235" s="8">
        <f t="shared" si="64"/>
        <v>83.333333333333343</v>
      </c>
      <c r="P235" s="8">
        <f t="shared" si="64"/>
        <v>250.00000000000003</v>
      </c>
      <c r="Q235" s="8">
        <f t="shared" si="64"/>
        <v>283.33333333333331</v>
      </c>
      <c r="R235" s="8">
        <f t="shared" si="64"/>
        <v>300</v>
      </c>
      <c r="S235" s="8">
        <f t="shared" si="64"/>
        <v>333.33333333333337</v>
      </c>
      <c r="T235" s="8">
        <f t="shared" si="64"/>
        <v>350</v>
      </c>
      <c r="U235" s="8">
        <f t="shared" si="64"/>
        <v>84.983658559879743</v>
      </c>
      <c r="V235" s="8">
        <f t="shared" si="64"/>
        <v>83.333333333333343</v>
      </c>
      <c r="W235" s="8">
        <f t="shared" si="64"/>
        <v>89.752746785575056</v>
      </c>
      <c r="X235" s="8">
        <f t="shared" si="64"/>
        <v>97.182531580755025</v>
      </c>
      <c r="Y235" s="8">
        <f t="shared" si="64"/>
        <v>117.85113019775793</v>
      </c>
      <c r="Z235" s="8">
        <f t="shared" si="64"/>
        <v>263.52313834736492</v>
      </c>
      <c r="AA235" s="8">
        <f t="shared" si="64"/>
        <v>295.33408577782251</v>
      </c>
      <c r="AB235" s="8">
        <f t="shared" si="64"/>
        <v>311.35902820449007</v>
      </c>
      <c r="AC235" s="8">
        <f t="shared" si="64"/>
        <v>343.59213546813839</v>
      </c>
      <c r="AD235" s="8">
        <f t="shared" si="64"/>
        <v>359.78388574871502</v>
      </c>
      <c r="AE235" s="8">
        <f t="shared" si="64"/>
        <v>167.49792701868154</v>
      </c>
      <c r="AF235" s="8">
        <f t="shared" si="64"/>
        <v>166.66666666666669</v>
      </c>
      <c r="AG235" s="8">
        <f t="shared" si="64"/>
        <v>169.96731711975949</v>
      </c>
      <c r="AH235" s="8">
        <f t="shared" si="64"/>
        <v>174.00510848184248</v>
      </c>
      <c r="AI235" s="8">
        <f t="shared" si="64"/>
        <v>186.33899812498248</v>
      </c>
      <c r="AJ235" s="8">
        <f t="shared" si="64"/>
        <v>380.42374035044429</v>
      </c>
      <c r="AK235" s="8">
        <f t="shared" si="64"/>
        <v>328.71804872193371</v>
      </c>
      <c r="AL235" s="8">
        <f t="shared" si="64"/>
        <v>343.18767136623336</v>
      </c>
      <c r="AM235" s="8">
        <f t="shared" si="64"/>
        <v>372.67799624996496</v>
      </c>
      <c r="AN235" s="8">
        <f t="shared" si="64"/>
        <v>387.6567783204336</v>
      </c>
    </row>
    <row r="236" spans="4:72" x14ac:dyDescent="0.25">
      <c r="J236" s="8">
        <f t="shared" si="64"/>
        <v>157.23301886761004</v>
      </c>
      <c r="K236" s="8">
        <f t="shared" si="64"/>
        <v>50</v>
      </c>
      <c r="L236" s="8">
        <f t="shared" si="64"/>
        <v>33.333333333333336</v>
      </c>
      <c r="M236" s="8">
        <f t="shared" si="64"/>
        <v>8333.3333333333339</v>
      </c>
      <c r="N236" s="8">
        <f t="shared" si="64"/>
        <v>16.666666666666668</v>
      </c>
      <c r="O236" s="8">
        <f t="shared" si="64"/>
        <v>50</v>
      </c>
      <c r="P236" s="8">
        <f t="shared" si="64"/>
        <v>216.66666666666666</v>
      </c>
      <c r="Q236" s="8">
        <f t="shared" si="64"/>
        <v>250.00000000000003</v>
      </c>
      <c r="R236" s="8">
        <f t="shared" si="64"/>
        <v>266.66666666666669</v>
      </c>
      <c r="S236" s="8">
        <f t="shared" si="64"/>
        <v>300</v>
      </c>
      <c r="T236" s="8">
        <f t="shared" si="64"/>
        <v>316.66666666666669</v>
      </c>
      <c r="U236" s="8">
        <f t="shared" si="64"/>
        <v>97.182531580755025</v>
      </c>
      <c r="V236" s="8">
        <f t="shared" si="64"/>
        <v>89.752746785575056</v>
      </c>
      <c r="W236" s="8">
        <f t="shared" si="64"/>
        <v>83.333333333333343</v>
      </c>
      <c r="X236" s="8">
        <f t="shared" si="64"/>
        <v>84.983658559879743</v>
      </c>
      <c r="Y236" s="8">
        <f t="shared" si="64"/>
        <v>97.182531580755025</v>
      </c>
      <c r="Z236" s="8">
        <f t="shared" si="64"/>
        <v>232.13980461973534</v>
      </c>
      <c r="AA236" s="8">
        <f t="shared" si="64"/>
        <v>263.52313834736492</v>
      </c>
      <c r="AB236" s="8">
        <f t="shared" si="64"/>
        <v>279.38424357067021</v>
      </c>
      <c r="AC236" s="8">
        <f t="shared" si="64"/>
        <v>311.35902820449007</v>
      </c>
      <c r="AD236" s="8">
        <f t="shared" si="64"/>
        <v>327.44804507314166</v>
      </c>
      <c r="AE236" s="8">
        <f t="shared" si="64"/>
        <v>174.00510848184248</v>
      </c>
      <c r="AF236" s="8">
        <f t="shared" si="64"/>
        <v>169.96731711975949</v>
      </c>
      <c r="AG236" s="8">
        <f t="shared" si="64"/>
        <v>166.66666666666669</v>
      </c>
      <c r="AH236" s="8">
        <f t="shared" si="64"/>
        <v>167.49792701868154</v>
      </c>
      <c r="AI236" s="8">
        <f t="shared" si="64"/>
        <v>174.00510848184248</v>
      </c>
      <c r="AJ236" s="8">
        <f t="shared" si="64"/>
        <v>351.58371849548314</v>
      </c>
      <c r="AK236" s="8">
        <f t="shared" si="64"/>
        <v>300.46260628866577</v>
      </c>
      <c r="AL236" s="8">
        <f t="shared" si="64"/>
        <v>314.46603773522008</v>
      </c>
      <c r="AM236" s="8">
        <f t="shared" si="64"/>
        <v>343.18767136623336</v>
      </c>
      <c r="AN236" s="8">
        <f t="shared" si="64"/>
        <v>357.84850922639816</v>
      </c>
    </row>
    <row r="237" spans="4:72" x14ac:dyDescent="0.25">
      <c r="J237" s="8">
        <f t="shared" si="64"/>
        <v>143.37208778404377</v>
      </c>
      <c r="K237" s="8">
        <f t="shared" si="64"/>
        <v>66.666666666666671</v>
      </c>
      <c r="L237" s="8">
        <f t="shared" si="64"/>
        <v>50</v>
      </c>
      <c r="M237" s="8">
        <f t="shared" si="64"/>
        <v>16.666666666666668</v>
      </c>
      <c r="N237" s="8">
        <f t="shared" si="64"/>
        <v>8333.3333333333339</v>
      </c>
      <c r="O237" s="8">
        <f t="shared" si="64"/>
        <v>33.333333333333336</v>
      </c>
      <c r="P237" s="8">
        <f t="shared" si="64"/>
        <v>200</v>
      </c>
      <c r="Q237" s="8">
        <f t="shared" si="64"/>
        <v>233.33333333333337</v>
      </c>
      <c r="R237" s="8">
        <f t="shared" si="64"/>
        <v>250.00000000000003</v>
      </c>
      <c r="S237" s="8">
        <f t="shared" si="64"/>
        <v>283.33333333333331</v>
      </c>
      <c r="T237" s="8">
        <f t="shared" si="64"/>
        <v>300</v>
      </c>
      <c r="U237" s="8">
        <f t="shared" si="64"/>
        <v>106.71873729054749</v>
      </c>
      <c r="V237" s="8">
        <f t="shared" si="64"/>
        <v>97.182531580755025</v>
      </c>
      <c r="W237" s="8">
        <f t="shared" si="64"/>
        <v>84.983658559879743</v>
      </c>
      <c r="X237" s="8">
        <f t="shared" si="64"/>
        <v>83.333333333333343</v>
      </c>
      <c r="Y237" s="8">
        <f t="shared" si="64"/>
        <v>89.752746785575056</v>
      </c>
      <c r="Z237" s="8">
        <f t="shared" si="64"/>
        <v>216.66666666666666</v>
      </c>
      <c r="AA237" s="8">
        <f t="shared" si="64"/>
        <v>247.76781245530844</v>
      </c>
      <c r="AB237" s="8">
        <f t="shared" si="64"/>
        <v>263.52313834736492</v>
      </c>
      <c r="AC237" s="8">
        <f t="shared" si="64"/>
        <v>295.33408577782251</v>
      </c>
      <c r="AD237" s="8">
        <f t="shared" si="64"/>
        <v>311.35902820449007</v>
      </c>
      <c r="AE237" s="8">
        <f t="shared" si="64"/>
        <v>179.50549357115011</v>
      </c>
      <c r="AF237" s="8">
        <f t="shared" si="64"/>
        <v>174.00510848184248</v>
      </c>
      <c r="AG237" s="8">
        <f t="shared" si="64"/>
        <v>167.49792701868154</v>
      </c>
      <c r="AH237" s="8">
        <f t="shared" si="64"/>
        <v>166.66666666666669</v>
      </c>
      <c r="AI237" s="8">
        <f t="shared" si="64"/>
        <v>169.96731711975949</v>
      </c>
      <c r="AJ237" s="8">
        <f t="shared" si="64"/>
        <v>337.47427885527651</v>
      </c>
      <c r="AK237" s="8">
        <f t="shared" si="64"/>
        <v>286.74417556808754</v>
      </c>
      <c r="AL237" s="8">
        <f t="shared" si="64"/>
        <v>300.46260628866577</v>
      </c>
      <c r="AM237" s="8">
        <f t="shared" si="64"/>
        <v>328.71804872193371</v>
      </c>
      <c r="AN237" s="8">
        <f t="shared" si="64"/>
        <v>343.18767136623336</v>
      </c>
    </row>
    <row r="238" spans="4:72" x14ac:dyDescent="0.25">
      <c r="J238" s="8">
        <f t="shared" si="64"/>
        <v>117.85113019775793</v>
      </c>
      <c r="K238" s="8">
        <f t="shared" si="64"/>
        <v>100</v>
      </c>
      <c r="L238" s="8">
        <f t="shared" si="64"/>
        <v>83.333333333333343</v>
      </c>
      <c r="M238" s="8">
        <f t="shared" si="64"/>
        <v>50</v>
      </c>
      <c r="N238" s="8">
        <f t="shared" si="64"/>
        <v>33.333333333333336</v>
      </c>
      <c r="O238" s="8">
        <f t="shared" si="64"/>
        <v>8333.3333333333339</v>
      </c>
      <c r="P238" s="8">
        <f t="shared" si="64"/>
        <v>166.66666666666669</v>
      </c>
      <c r="Q238" s="8">
        <f t="shared" si="64"/>
        <v>200</v>
      </c>
      <c r="R238" s="8">
        <f t="shared" si="64"/>
        <v>216.66666666666666</v>
      </c>
      <c r="S238" s="8">
        <f t="shared" si="64"/>
        <v>250.00000000000003</v>
      </c>
      <c r="T238" s="8">
        <f t="shared" si="64"/>
        <v>266.66666666666669</v>
      </c>
      <c r="U238" s="8">
        <f t="shared" si="64"/>
        <v>130.17082793177758</v>
      </c>
      <c r="V238" s="8">
        <f t="shared" si="64"/>
        <v>117.85113019775793</v>
      </c>
      <c r="W238" s="8">
        <f t="shared" si="64"/>
        <v>97.182531580755025</v>
      </c>
      <c r="X238" s="8">
        <f t="shared" si="64"/>
        <v>89.752746785575056</v>
      </c>
      <c r="Y238" s="8">
        <f t="shared" si="64"/>
        <v>83.333333333333343</v>
      </c>
      <c r="Z238" s="8">
        <f t="shared" si="64"/>
        <v>186.33899812498248</v>
      </c>
      <c r="AA238" s="8">
        <f t="shared" si="64"/>
        <v>216.66666666666666</v>
      </c>
      <c r="AB238" s="8">
        <f t="shared" si="64"/>
        <v>232.13980461973534</v>
      </c>
      <c r="AC238" s="8">
        <f t="shared" si="64"/>
        <v>263.52313834736492</v>
      </c>
      <c r="AD238" s="8">
        <f t="shared" si="64"/>
        <v>279.38424357067021</v>
      </c>
      <c r="AE238" s="8">
        <f t="shared" si="64"/>
        <v>194.36506316151005</v>
      </c>
      <c r="AF238" s="8">
        <f t="shared" si="64"/>
        <v>186.33899812498248</v>
      </c>
      <c r="AG238" s="8">
        <f t="shared" si="64"/>
        <v>174.00510848184248</v>
      </c>
      <c r="AH238" s="8">
        <f t="shared" si="64"/>
        <v>169.96731711975949</v>
      </c>
      <c r="AI238" s="8">
        <f t="shared" si="64"/>
        <v>166.66666666666669</v>
      </c>
      <c r="AJ238" s="8">
        <f t="shared" si="64"/>
        <v>310.0179206289713</v>
      </c>
      <c r="AK238" s="8">
        <f t="shared" si="64"/>
        <v>260.34165586355516</v>
      </c>
      <c r="AL238" s="8">
        <f t="shared" si="64"/>
        <v>273.35365778094541</v>
      </c>
      <c r="AM238" s="8">
        <f t="shared" si="64"/>
        <v>300.46260628866577</v>
      </c>
      <c r="AN238" s="8">
        <f t="shared" si="64"/>
        <v>314.46603773522008</v>
      </c>
    </row>
    <row r="239" spans="4:72" x14ac:dyDescent="0.25">
      <c r="J239" s="8">
        <f t="shared" si="64"/>
        <v>117.85113019775793</v>
      </c>
      <c r="K239" s="8">
        <f t="shared" si="64"/>
        <v>266.66666666666669</v>
      </c>
      <c r="L239" s="8">
        <f t="shared" si="64"/>
        <v>250.00000000000003</v>
      </c>
      <c r="M239" s="8">
        <f t="shared" si="64"/>
        <v>216.66666666666666</v>
      </c>
      <c r="N239" s="8">
        <f t="shared" si="64"/>
        <v>200</v>
      </c>
      <c r="O239" s="8">
        <f t="shared" si="64"/>
        <v>166.66666666666669</v>
      </c>
      <c r="P239" s="8">
        <f t="shared" si="64"/>
        <v>8333.3333333333339</v>
      </c>
      <c r="Q239" s="8">
        <f t="shared" si="64"/>
        <v>33.333333333333336</v>
      </c>
      <c r="R239" s="8">
        <f t="shared" si="64"/>
        <v>50</v>
      </c>
      <c r="S239" s="8">
        <f t="shared" si="64"/>
        <v>83.333333333333343</v>
      </c>
      <c r="T239" s="8">
        <f t="shared" si="64"/>
        <v>100</v>
      </c>
      <c r="U239" s="8">
        <f t="shared" si="64"/>
        <v>279.38424357067021</v>
      </c>
      <c r="V239" s="8">
        <f t="shared" si="64"/>
        <v>263.52313834736492</v>
      </c>
      <c r="W239" s="8">
        <f t="shared" si="64"/>
        <v>232.13980461973534</v>
      </c>
      <c r="X239" s="8">
        <f t="shared" si="64"/>
        <v>216.66666666666666</v>
      </c>
      <c r="Y239" s="8">
        <f t="shared" si="64"/>
        <v>186.33899812498248</v>
      </c>
      <c r="Z239" s="8">
        <f t="shared" si="64"/>
        <v>83.333333333333343</v>
      </c>
      <c r="AA239" s="8">
        <f t="shared" si="64"/>
        <v>89.752746785575056</v>
      </c>
      <c r="AB239" s="8">
        <f t="shared" si="64"/>
        <v>97.182531580755025</v>
      </c>
      <c r="AC239" s="8">
        <f t="shared" si="64"/>
        <v>117.85113019775793</v>
      </c>
      <c r="AD239" s="8">
        <f t="shared" si="64"/>
        <v>130.17082793177758</v>
      </c>
      <c r="AE239" s="8">
        <f t="shared" si="64"/>
        <v>314.46603773522008</v>
      </c>
      <c r="AF239" s="8">
        <f t="shared" si="64"/>
        <v>300.46260628866577</v>
      </c>
      <c r="AG239" s="8">
        <f t="shared" si="64"/>
        <v>273.35365778094541</v>
      </c>
      <c r="AH239" s="8">
        <f t="shared" si="64"/>
        <v>260.34165586355516</v>
      </c>
      <c r="AI239" s="8">
        <f t="shared" si="64"/>
        <v>235.70226039551585</v>
      </c>
      <c r="AJ239" s="8">
        <f t="shared" si="64"/>
        <v>201.38409955990957</v>
      </c>
      <c r="AK239" s="8">
        <f t="shared" si="64"/>
        <v>169.96731711975949</v>
      </c>
      <c r="AL239" s="8">
        <f t="shared" si="64"/>
        <v>174.00510848184248</v>
      </c>
      <c r="AM239" s="8">
        <f t="shared" si="64"/>
        <v>186.33899812498248</v>
      </c>
      <c r="AN239" s="8">
        <f t="shared" si="64"/>
        <v>194.36506316151005</v>
      </c>
    </row>
    <row r="240" spans="4:72" x14ac:dyDescent="0.25">
      <c r="J240" s="8">
        <f t="shared" si="64"/>
        <v>143.37208778404377</v>
      </c>
      <c r="K240" s="8">
        <f t="shared" si="64"/>
        <v>300</v>
      </c>
      <c r="L240" s="8">
        <f t="shared" si="64"/>
        <v>283.33333333333331</v>
      </c>
      <c r="M240" s="8">
        <f t="shared" si="64"/>
        <v>250.00000000000003</v>
      </c>
      <c r="N240" s="8">
        <f t="shared" si="64"/>
        <v>233.33333333333337</v>
      </c>
      <c r="O240" s="8">
        <f t="shared" si="64"/>
        <v>200</v>
      </c>
      <c r="P240" s="8">
        <f t="shared" si="64"/>
        <v>33.333333333333336</v>
      </c>
      <c r="Q240" s="8">
        <f t="shared" si="64"/>
        <v>8333.3333333333339</v>
      </c>
      <c r="R240" s="8">
        <f t="shared" si="64"/>
        <v>16.666666666666668</v>
      </c>
      <c r="S240" s="8">
        <f t="shared" si="64"/>
        <v>50</v>
      </c>
      <c r="T240" s="8">
        <f t="shared" si="64"/>
        <v>66.666666666666671</v>
      </c>
      <c r="U240" s="8">
        <f t="shared" si="64"/>
        <v>311.35902820449007</v>
      </c>
      <c r="V240" s="8">
        <f t="shared" si="64"/>
        <v>295.33408577782251</v>
      </c>
      <c r="W240" s="8">
        <f t="shared" si="64"/>
        <v>263.52313834736492</v>
      </c>
      <c r="X240" s="8">
        <f t="shared" si="64"/>
        <v>247.76781245530844</v>
      </c>
      <c r="Y240" s="8">
        <f t="shared" si="64"/>
        <v>216.66666666666666</v>
      </c>
      <c r="Z240" s="8">
        <f t="shared" si="64"/>
        <v>89.752746785575056</v>
      </c>
      <c r="AA240" s="8">
        <f t="shared" si="64"/>
        <v>83.333333333333343</v>
      </c>
      <c r="AB240" s="8">
        <f t="shared" si="64"/>
        <v>84.983658559879743</v>
      </c>
      <c r="AC240" s="8">
        <f t="shared" si="64"/>
        <v>97.182531580755025</v>
      </c>
      <c r="AD240" s="8">
        <f t="shared" si="64"/>
        <v>106.71873729054749</v>
      </c>
      <c r="AE240" s="8">
        <f t="shared" si="64"/>
        <v>343.18767136623336</v>
      </c>
      <c r="AF240" s="8">
        <f t="shared" si="64"/>
        <v>328.71804872193371</v>
      </c>
      <c r="AG240" s="8">
        <f t="shared" si="64"/>
        <v>300.46260628866577</v>
      </c>
      <c r="AH240" s="8">
        <f t="shared" si="64"/>
        <v>286.74417556808754</v>
      </c>
      <c r="AI240" s="8">
        <f t="shared" si="64"/>
        <v>260.34165586355516</v>
      </c>
      <c r="AJ240" s="8">
        <f t="shared" si="64"/>
        <v>190.02923751652301</v>
      </c>
      <c r="AK240" s="8">
        <f t="shared" si="64"/>
        <v>166.66666666666669</v>
      </c>
      <c r="AL240" s="8">
        <f t="shared" si="64"/>
        <v>167.49792701868154</v>
      </c>
      <c r="AM240" s="8">
        <f t="shared" si="64"/>
        <v>174.00510848184248</v>
      </c>
      <c r="AN240" s="8">
        <f t="shared" si="64"/>
        <v>179.50549357115011</v>
      </c>
    </row>
    <row r="241" spans="4:72" x14ac:dyDescent="0.25">
      <c r="J241" s="8">
        <f t="shared" si="64"/>
        <v>157.23301886761004</v>
      </c>
      <c r="K241" s="8">
        <f t="shared" si="64"/>
        <v>316.66666666666669</v>
      </c>
      <c r="L241" s="8">
        <f t="shared" si="64"/>
        <v>300</v>
      </c>
      <c r="M241" s="8">
        <f t="shared" si="64"/>
        <v>266.66666666666669</v>
      </c>
      <c r="N241" s="8">
        <f t="shared" si="64"/>
        <v>250.00000000000003</v>
      </c>
      <c r="O241" s="8">
        <f t="shared" si="64"/>
        <v>216.66666666666666</v>
      </c>
      <c r="P241" s="8">
        <f t="shared" si="64"/>
        <v>50</v>
      </c>
      <c r="Q241" s="8">
        <f t="shared" si="64"/>
        <v>16.666666666666668</v>
      </c>
      <c r="R241" s="8">
        <f t="shared" si="64"/>
        <v>8333.3333333333339</v>
      </c>
      <c r="S241" s="8">
        <f t="shared" si="64"/>
        <v>33.333333333333336</v>
      </c>
      <c r="T241" s="8">
        <f t="shared" si="64"/>
        <v>50</v>
      </c>
      <c r="U241" s="8">
        <f t="shared" si="64"/>
        <v>327.44804507314166</v>
      </c>
      <c r="V241" s="8">
        <f t="shared" si="64"/>
        <v>311.35902820449007</v>
      </c>
      <c r="W241" s="8">
        <f t="shared" si="64"/>
        <v>279.38424357067021</v>
      </c>
      <c r="X241" s="8">
        <f t="shared" si="64"/>
        <v>263.52313834736492</v>
      </c>
      <c r="Y241" s="8">
        <f t="shared" si="64"/>
        <v>232.13980461973534</v>
      </c>
      <c r="Z241" s="8">
        <f t="shared" si="64"/>
        <v>97.182531580755025</v>
      </c>
      <c r="AA241" s="8">
        <f t="shared" si="64"/>
        <v>84.983658559879743</v>
      </c>
      <c r="AB241" s="8">
        <f t="shared" si="64"/>
        <v>83.333333333333343</v>
      </c>
      <c r="AC241" s="8">
        <f t="shared" si="64"/>
        <v>89.752746785575056</v>
      </c>
      <c r="AD241" s="8">
        <f t="shared" si="64"/>
        <v>97.182531580755025</v>
      </c>
      <c r="AE241" s="8">
        <f t="shared" si="64"/>
        <v>357.84850922639816</v>
      </c>
      <c r="AF241" s="8">
        <f t="shared" si="64"/>
        <v>343.18767136623336</v>
      </c>
      <c r="AG241" s="8">
        <f t="shared" si="64"/>
        <v>314.46603773522008</v>
      </c>
      <c r="AH241" s="8">
        <f t="shared" si="64"/>
        <v>300.46260628866577</v>
      </c>
      <c r="AI241" s="8">
        <f t="shared" si="64"/>
        <v>273.35365778094541</v>
      </c>
      <c r="AJ241" s="8">
        <f t="shared" si="64"/>
        <v>186.33899812498248</v>
      </c>
      <c r="AK241" s="8">
        <f t="shared" si="64"/>
        <v>167.49792701868154</v>
      </c>
      <c r="AL241" s="8">
        <f t="shared" si="64"/>
        <v>166.66666666666669</v>
      </c>
      <c r="AM241" s="8">
        <f t="shared" si="64"/>
        <v>169.96731711975949</v>
      </c>
      <c r="AN241" s="8">
        <f t="shared" si="64"/>
        <v>174.00510848184248</v>
      </c>
    </row>
    <row r="242" spans="4:72" x14ac:dyDescent="0.25">
      <c r="J242" s="8">
        <f t="shared" si="64"/>
        <v>186.33899812498248</v>
      </c>
      <c r="K242" s="8">
        <f t="shared" si="64"/>
        <v>350</v>
      </c>
      <c r="L242" s="8">
        <f t="shared" si="64"/>
        <v>333.33333333333337</v>
      </c>
      <c r="M242" s="8">
        <f t="shared" si="64"/>
        <v>300</v>
      </c>
      <c r="N242" s="8">
        <f t="shared" si="64"/>
        <v>283.33333333333331</v>
      </c>
      <c r="O242" s="8">
        <f t="shared" si="64"/>
        <v>250.00000000000003</v>
      </c>
      <c r="P242" s="8">
        <f t="shared" si="64"/>
        <v>83.333333333333343</v>
      </c>
      <c r="Q242" s="8">
        <f t="shared" ref="Q242:AN242" si="65">Q204*60</f>
        <v>50</v>
      </c>
      <c r="R242" s="8">
        <f t="shared" si="65"/>
        <v>33.333333333333336</v>
      </c>
      <c r="S242" s="8">
        <f t="shared" si="65"/>
        <v>8333.3333333333339</v>
      </c>
      <c r="T242" s="8">
        <f t="shared" si="65"/>
        <v>16.666666666666668</v>
      </c>
      <c r="U242" s="8">
        <f t="shared" si="65"/>
        <v>359.78388574871502</v>
      </c>
      <c r="V242" s="8">
        <f t="shared" si="65"/>
        <v>343.59213546813839</v>
      </c>
      <c r="W242" s="8">
        <f t="shared" si="65"/>
        <v>311.35902820449007</v>
      </c>
      <c r="X242" s="8">
        <f t="shared" si="65"/>
        <v>295.33408577782251</v>
      </c>
      <c r="Y242" s="8">
        <f t="shared" si="65"/>
        <v>263.52313834736492</v>
      </c>
      <c r="Z242" s="8">
        <f t="shared" si="65"/>
        <v>117.85113019775793</v>
      </c>
      <c r="AA242" s="8">
        <f t="shared" si="65"/>
        <v>97.182531580755025</v>
      </c>
      <c r="AB242" s="8">
        <f t="shared" si="65"/>
        <v>89.752746785575056</v>
      </c>
      <c r="AC242" s="8">
        <f t="shared" si="65"/>
        <v>83.333333333333343</v>
      </c>
      <c r="AD242" s="8">
        <f t="shared" si="65"/>
        <v>84.983658559879743</v>
      </c>
      <c r="AE242" s="8">
        <f t="shared" si="65"/>
        <v>387.6567783204336</v>
      </c>
      <c r="AF242" s="8">
        <f t="shared" si="65"/>
        <v>372.67799624996496</v>
      </c>
      <c r="AG242" s="8">
        <f t="shared" si="65"/>
        <v>343.18767136623336</v>
      </c>
      <c r="AH242" s="8">
        <f t="shared" si="65"/>
        <v>328.71804872193371</v>
      </c>
      <c r="AI242" s="8">
        <f t="shared" si="65"/>
        <v>300.46260628866577</v>
      </c>
      <c r="AJ242" s="8">
        <f t="shared" si="65"/>
        <v>183.33333333333334</v>
      </c>
      <c r="AK242" s="8">
        <f t="shared" si="65"/>
        <v>174.00510848184248</v>
      </c>
      <c r="AL242" s="8">
        <f t="shared" si="65"/>
        <v>169.96731711975949</v>
      </c>
      <c r="AM242" s="8">
        <f t="shared" si="65"/>
        <v>166.66666666666669</v>
      </c>
      <c r="AN242" s="8">
        <f t="shared" si="65"/>
        <v>167.49792701868154</v>
      </c>
    </row>
    <row r="243" spans="4:72" x14ac:dyDescent="0.25">
      <c r="J243" s="8">
        <f t="shared" ref="J243:AN251" si="66">J205*60</f>
        <v>201.38409955990957</v>
      </c>
      <c r="K243" s="8">
        <f t="shared" si="66"/>
        <v>366.66666666666669</v>
      </c>
      <c r="L243" s="8">
        <f t="shared" si="66"/>
        <v>350</v>
      </c>
      <c r="M243" s="8">
        <f t="shared" si="66"/>
        <v>316.66666666666669</v>
      </c>
      <c r="N243" s="8">
        <f t="shared" si="66"/>
        <v>300</v>
      </c>
      <c r="O243" s="8">
        <f t="shared" si="66"/>
        <v>266.66666666666669</v>
      </c>
      <c r="P243" s="8">
        <f t="shared" si="66"/>
        <v>100</v>
      </c>
      <c r="Q243" s="8">
        <f t="shared" si="66"/>
        <v>66.666666666666671</v>
      </c>
      <c r="R243" s="8">
        <f t="shared" si="66"/>
        <v>50</v>
      </c>
      <c r="S243" s="8">
        <f t="shared" si="66"/>
        <v>16.666666666666668</v>
      </c>
      <c r="T243" s="8">
        <f t="shared" si="66"/>
        <v>8333.3333333333339</v>
      </c>
      <c r="U243" s="8">
        <f t="shared" si="66"/>
        <v>376.01713908928264</v>
      </c>
      <c r="V243" s="8">
        <f t="shared" si="66"/>
        <v>359.78388574871502</v>
      </c>
      <c r="W243" s="8">
        <f t="shared" si="66"/>
        <v>327.44804507314166</v>
      </c>
      <c r="X243" s="8">
        <f t="shared" si="66"/>
        <v>311.35902820449007</v>
      </c>
      <c r="Y243" s="8">
        <f t="shared" si="66"/>
        <v>279.38424357067021</v>
      </c>
      <c r="Z243" s="8">
        <f t="shared" si="66"/>
        <v>130.17082793177758</v>
      </c>
      <c r="AA243" s="8">
        <f t="shared" si="66"/>
        <v>106.71873729054749</v>
      </c>
      <c r="AB243" s="8">
        <f t="shared" si="66"/>
        <v>97.182531580755025</v>
      </c>
      <c r="AC243" s="8">
        <f t="shared" si="66"/>
        <v>84.983658559879743</v>
      </c>
      <c r="AD243" s="8">
        <f t="shared" si="66"/>
        <v>83.333333333333343</v>
      </c>
      <c r="AE243" s="8">
        <f t="shared" si="66"/>
        <v>402.76819911981914</v>
      </c>
      <c r="AF243" s="8">
        <f t="shared" si="66"/>
        <v>387.6567783204336</v>
      </c>
      <c r="AG243" s="8">
        <f t="shared" si="66"/>
        <v>357.84850922639816</v>
      </c>
      <c r="AH243" s="8">
        <f t="shared" si="66"/>
        <v>343.18767136623336</v>
      </c>
      <c r="AI243" s="8">
        <f t="shared" si="66"/>
        <v>314.46603773522008</v>
      </c>
      <c r="AJ243" s="8">
        <f t="shared" si="66"/>
        <v>184.08935028645439</v>
      </c>
      <c r="AK243" s="8">
        <f t="shared" si="66"/>
        <v>179.50549357115011</v>
      </c>
      <c r="AL243" s="8">
        <f t="shared" si="66"/>
        <v>174.00510848184248</v>
      </c>
      <c r="AM243" s="8">
        <f t="shared" si="66"/>
        <v>167.49792701868154</v>
      </c>
      <c r="AN243" s="8">
        <f t="shared" si="66"/>
        <v>166.66666666666669</v>
      </c>
    </row>
    <row r="244" spans="4:72" s="59" customFormat="1" x14ac:dyDescent="0.25">
      <c r="D244" s="58"/>
      <c r="H244"/>
      <c r="I244"/>
      <c r="J244" s="8">
        <f t="shared" si="66"/>
        <v>247.76781245530844</v>
      </c>
      <c r="K244" s="8">
        <f t="shared" si="66"/>
        <v>83.333333333333343</v>
      </c>
      <c r="L244" s="8">
        <f t="shared" si="66"/>
        <v>84.983658559879743</v>
      </c>
      <c r="M244" s="8">
        <f t="shared" si="66"/>
        <v>97.182531580755025</v>
      </c>
      <c r="N244" s="8">
        <f t="shared" si="66"/>
        <v>106.71873729054749</v>
      </c>
      <c r="O244" s="8">
        <f t="shared" si="66"/>
        <v>130.17082793177758</v>
      </c>
      <c r="P244" s="8">
        <f t="shared" si="66"/>
        <v>279.38424357067021</v>
      </c>
      <c r="Q244" s="8">
        <f t="shared" si="66"/>
        <v>311.35902820449007</v>
      </c>
      <c r="R244" s="8">
        <f t="shared" si="66"/>
        <v>327.44804507314166</v>
      </c>
      <c r="S244" s="8">
        <f t="shared" si="66"/>
        <v>359.78388574871502</v>
      </c>
      <c r="T244" s="8">
        <f t="shared" si="66"/>
        <v>376.01713908928264</v>
      </c>
      <c r="U244" s="8">
        <f t="shared" si="66"/>
        <v>8333.3333333333339</v>
      </c>
      <c r="V244" s="8">
        <f t="shared" si="66"/>
        <v>16.666666666666668</v>
      </c>
      <c r="W244" s="8">
        <f t="shared" si="66"/>
        <v>50</v>
      </c>
      <c r="X244" s="8">
        <f t="shared" si="66"/>
        <v>66.666666666666671</v>
      </c>
      <c r="Y244" s="8">
        <f t="shared" si="66"/>
        <v>100</v>
      </c>
      <c r="Z244" s="8">
        <f t="shared" si="66"/>
        <v>266.66666666666669</v>
      </c>
      <c r="AA244" s="8">
        <f t="shared" si="66"/>
        <v>300</v>
      </c>
      <c r="AB244" s="8">
        <f t="shared" si="66"/>
        <v>316.66666666666669</v>
      </c>
      <c r="AC244" s="8">
        <f t="shared" si="66"/>
        <v>350</v>
      </c>
      <c r="AD244" s="8">
        <f t="shared" si="66"/>
        <v>366.66666666666669</v>
      </c>
      <c r="AE244" s="8">
        <f t="shared" si="66"/>
        <v>83.333333333333343</v>
      </c>
      <c r="AF244" s="8">
        <f t="shared" si="66"/>
        <v>84.983658559879743</v>
      </c>
      <c r="AG244" s="8">
        <f t="shared" si="66"/>
        <v>97.182531580755025</v>
      </c>
      <c r="AH244" s="8">
        <f t="shared" si="66"/>
        <v>106.71873729054749</v>
      </c>
      <c r="AI244" s="8">
        <f t="shared" si="66"/>
        <v>130.17082793177758</v>
      </c>
      <c r="AJ244" s="8">
        <f t="shared" si="66"/>
        <v>364.0054944640259</v>
      </c>
      <c r="AK244" s="8">
        <f t="shared" si="66"/>
        <v>311.35902820449007</v>
      </c>
      <c r="AL244" s="8">
        <f t="shared" si="66"/>
        <v>327.44804507314166</v>
      </c>
      <c r="AM244" s="8">
        <f t="shared" si="66"/>
        <v>359.78388574871502</v>
      </c>
      <c r="AN244" s="8">
        <f t="shared" si="66"/>
        <v>376.01713908928264</v>
      </c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</row>
    <row r="245" spans="4:72" s="59" customFormat="1" x14ac:dyDescent="0.25">
      <c r="D245" s="58"/>
      <c r="H245"/>
      <c r="I245"/>
      <c r="J245" s="8">
        <f t="shared" si="66"/>
        <v>235.70226039551585</v>
      </c>
      <c r="K245" s="8">
        <f t="shared" si="66"/>
        <v>84.983658559879743</v>
      </c>
      <c r="L245" s="8">
        <f t="shared" si="66"/>
        <v>83.333333333333343</v>
      </c>
      <c r="M245" s="8">
        <f t="shared" si="66"/>
        <v>89.752746785575056</v>
      </c>
      <c r="N245" s="8">
        <f t="shared" si="66"/>
        <v>97.182531580755025</v>
      </c>
      <c r="O245" s="8">
        <f t="shared" si="66"/>
        <v>117.85113019775793</v>
      </c>
      <c r="P245" s="8">
        <f t="shared" si="66"/>
        <v>263.52313834736492</v>
      </c>
      <c r="Q245" s="8">
        <f t="shared" si="66"/>
        <v>295.33408577782251</v>
      </c>
      <c r="R245" s="8">
        <f t="shared" si="66"/>
        <v>311.35902820449007</v>
      </c>
      <c r="S245" s="8">
        <f t="shared" si="66"/>
        <v>343.59213546813839</v>
      </c>
      <c r="T245" s="8">
        <f t="shared" si="66"/>
        <v>359.78388574871502</v>
      </c>
      <c r="U245" s="8">
        <f t="shared" si="66"/>
        <v>16.666666666666668</v>
      </c>
      <c r="V245" s="8">
        <f t="shared" si="66"/>
        <v>8333.3333333333339</v>
      </c>
      <c r="W245" s="8">
        <f t="shared" si="66"/>
        <v>33.333333333333336</v>
      </c>
      <c r="X245" s="8">
        <f t="shared" si="66"/>
        <v>50</v>
      </c>
      <c r="Y245" s="8">
        <f t="shared" si="66"/>
        <v>83.333333333333343</v>
      </c>
      <c r="Z245" s="8">
        <f t="shared" si="66"/>
        <v>250.00000000000003</v>
      </c>
      <c r="AA245" s="8">
        <f t="shared" si="66"/>
        <v>283.33333333333331</v>
      </c>
      <c r="AB245" s="8">
        <f t="shared" si="66"/>
        <v>300</v>
      </c>
      <c r="AC245" s="8">
        <f t="shared" si="66"/>
        <v>333.33333333333337</v>
      </c>
      <c r="AD245" s="8">
        <f t="shared" si="66"/>
        <v>350</v>
      </c>
      <c r="AE245" s="8">
        <f t="shared" si="66"/>
        <v>84.983658559879743</v>
      </c>
      <c r="AF245" s="8">
        <f t="shared" si="66"/>
        <v>83.333333333333343</v>
      </c>
      <c r="AG245" s="8">
        <f t="shared" si="66"/>
        <v>89.752746785575056</v>
      </c>
      <c r="AH245" s="8">
        <f t="shared" si="66"/>
        <v>97.182531580755025</v>
      </c>
      <c r="AI245" s="8">
        <f t="shared" si="66"/>
        <v>117.85113019775793</v>
      </c>
      <c r="AJ245" s="8">
        <f t="shared" si="66"/>
        <v>348.01021696368497</v>
      </c>
      <c r="AK245" s="8">
        <f t="shared" si="66"/>
        <v>295.33408577782251</v>
      </c>
      <c r="AL245" s="8">
        <f t="shared" si="66"/>
        <v>311.35902820449007</v>
      </c>
      <c r="AM245" s="8">
        <f t="shared" si="66"/>
        <v>343.59213546813839</v>
      </c>
      <c r="AN245" s="8">
        <f t="shared" si="66"/>
        <v>359.78388574871502</v>
      </c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</row>
    <row r="246" spans="4:72" s="59" customFormat="1" x14ac:dyDescent="0.25">
      <c r="D246" s="58"/>
      <c r="H246"/>
      <c r="I246"/>
      <c r="J246" s="8">
        <f t="shared" si="66"/>
        <v>213.43747458109499</v>
      </c>
      <c r="K246" s="8">
        <f t="shared" si="66"/>
        <v>97.182531580755025</v>
      </c>
      <c r="L246" s="8">
        <f t="shared" si="66"/>
        <v>89.752746785575056</v>
      </c>
      <c r="M246" s="8">
        <f t="shared" si="66"/>
        <v>83.333333333333343</v>
      </c>
      <c r="N246" s="8">
        <f t="shared" si="66"/>
        <v>84.983658559879743</v>
      </c>
      <c r="O246" s="8">
        <f t="shared" si="66"/>
        <v>97.182531580755025</v>
      </c>
      <c r="P246" s="8">
        <f t="shared" si="66"/>
        <v>232.13980461973534</v>
      </c>
      <c r="Q246" s="8">
        <f t="shared" si="66"/>
        <v>263.52313834736492</v>
      </c>
      <c r="R246" s="8">
        <f t="shared" si="66"/>
        <v>279.38424357067021</v>
      </c>
      <c r="S246" s="8">
        <f t="shared" si="66"/>
        <v>311.35902820449007</v>
      </c>
      <c r="T246" s="8">
        <f t="shared" si="66"/>
        <v>327.44804507314166</v>
      </c>
      <c r="U246" s="8">
        <f t="shared" si="66"/>
        <v>50</v>
      </c>
      <c r="V246" s="8">
        <f t="shared" si="66"/>
        <v>33.333333333333336</v>
      </c>
      <c r="W246" s="8">
        <f t="shared" si="66"/>
        <v>8333.3333333333339</v>
      </c>
      <c r="X246" s="8">
        <f t="shared" si="66"/>
        <v>16.666666666666668</v>
      </c>
      <c r="Y246" s="8">
        <f t="shared" si="66"/>
        <v>50</v>
      </c>
      <c r="Z246" s="8">
        <f t="shared" si="66"/>
        <v>216.66666666666666</v>
      </c>
      <c r="AA246" s="8">
        <f t="shared" si="66"/>
        <v>250.00000000000003</v>
      </c>
      <c r="AB246" s="8">
        <f t="shared" si="66"/>
        <v>266.66666666666669</v>
      </c>
      <c r="AC246" s="8">
        <f t="shared" si="66"/>
        <v>300</v>
      </c>
      <c r="AD246" s="8">
        <f t="shared" si="66"/>
        <v>316.66666666666669</v>
      </c>
      <c r="AE246" s="8">
        <f t="shared" si="66"/>
        <v>97.182531580755025</v>
      </c>
      <c r="AF246" s="8">
        <f t="shared" si="66"/>
        <v>89.752746785575056</v>
      </c>
      <c r="AG246" s="8">
        <f t="shared" si="66"/>
        <v>83.333333333333343</v>
      </c>
      <c r="AH246" s="8">
        <f t="shared" si="66"/>
        <v>84.983658559879743</v>
      </c>
      <c r="AI246" s="8">
        <f t="shared" si="66"/>
        <v>97.182531580755025</v>
      </c>
      <c r="AJ246" s="8">
        <f t="shared" si="66"/>
        <v>316.22776601683796</v>
      </c>
      <c r="AK246" s="8">
        <f t="shared" si="66"/>
        <v>263.52313834736492</v>
      </c>
      <c r="AL246" s="8">
        <f t="shared" si="66"/>
        <v>279.38424357067021</v>
      </c>
      <c r="AM246" s="8">
        <f t="shared" si="66"/>
        <v>311.35902820449007</v>
      </c>
      <c r="AN246" s="8">
        <f t="shared" si="66"/>
        <v>327.44804507314166</v>
      </c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</row>
    <row r="247" spans="4:72" s="59" customFormat="1" x14ac:dyDescent="0.25">
      <c r="D247" s="58"/>
      <c r="H247"/>
      <c r="I247"/>
      <c r="J247" s="8">
        <f t="shared" si="66"/>
        <v>203.44259359556173</v>
      </c>
      <c r="K247" s="8">
        <f t="shared" si="66"/>
        <v>106.71873729054749</v>
      </c>
      <c r="L247" s="8">
        <f t="shared" si="66"/>
        <v>97.182531580755025</v>
      </c>
      <c r="M247" s="8">
        <f t="shared" si="66"/>
        <v>84.983658559879743</v>
      </c>
      <c r="N247" s="8">
        <f t="shared" si="66"/>
        <v>83.333333333333343</v>
      </c>
      <c r="O247" s="8">
        <f t="shared" si="66"/>
        <v>89.752746785575056</v>
      </c>
      <c r="P247" s="8">
        <f t="shared" si="66"/>
        <v>216.66666666666666</v>
      </c>
      <c r="Q247" s="8">
        <f t="shared" si="66"/>
        <v>247.76781245530844</v>
      </c>
      <c r="R247" s="8">
        <f t="shared" si="66"/>
        <v>263.52313834736492</v>
      </c>
      <c r="S247" s="8">
        <f t="shared" si="66"/>
        <v>295.33408577782251</v>
      </c>
      <c r="T247" s="8">
        <f t="shared" si="66"/>
        <v>311.35902820449007</v>
      </c>
      <c r="U247" s="8">
        <f t="shared" si="66"/>
        <v>66.666666666666671</v>
      </c>
      <c r="V247" s="8">
        <f t="shared" si="66"/>
        <v>50</v>
      </c>
      <c r="W247" s="8">
        <f t="shared" si="66"/>
        <v>16.666666666666668</v>
      </c>
      <c r="X247" s="8">
        <f t="shared" si="66"/>
        <v>8333.3333333333339</v>
      </c>
      <c r="Y247" s="8">
        <f t="shared" si="66"/>
        <v>33.333333333333336</v>
      </c>
      <c r="Z247" s="8">
        <f t="shared" si="66"/>
        <v>200</v>
      </c>
      <c r="AA247" s="8">
        <f t="shared" si="66"/>
        <v>233.33333333333337</v>
      </c>
      <c r="AB247" s="8">
        <f t="shared" si="66"/>
        <v>250.00000000000003</v>
      </c>
      <c r="AC247" s="8">
        <f t="shared" si="66"/>
        <v>283.33333333333331</v>
      </c>
      <c r="AD247" s="8">
        <f t="shared" si="66"/>
        <v>300</v>
      </c>
      <c r="AE247" s="8">
        <f t="shared" si="66"/>
        <v>106.71873729054749</v>
      </c>
      <c r="AF247" s="8">
        <f t="shared" si="66"/>
        <v>97.182531580755025</v>
      </c>
      <c r="AG247" s="8">
        <f t="shared" si="66"/>
        <v>84.983658559879743</v>
      </c>
      <c r="AH247" s="8">
        <f t="shared" si="66"/>
        <v>83.333333333333343</v>
      </c>
      <c r="AI247" s="8">
        <f t="shared" si="66"/>
        <v>89.752746785575056</v>
      </c>
      <c r="AJ247" s="8">
        <f t="shared" si="66"/>
        <v>300.46260628866577</v>
      </c>
      <c r="AK247" s="8">
        <f t="shared" si="66"/>
        <v>247.76781245530844</v>
      </c>
      <c r="AL247" s="8">
        <f t="shared" si="66"/>
        <v>263.52313834736492</v>
      </c>
      <c r="AM247" s="8">
        <f t="shared" si="66"/>
        <v>295.33408577782251</v>
      </c>
      <c r="AN247" s="8">
        <f t="shared" si="66"/>
        <v>311.35902820449007</v>
      </c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</row>
    <row r="248" spans="4:72" s="59" customFormat="1" x14ac:dyDescent="0.25">
      <c r="D248" s="58"/>
      <c r="H248"/>
      <c r="I248"/>
      <c r="J248" s="8">
        <f t="shared" si="66"/>
        <v>186.33899812498248</v>
      </c>
      <c r="K248" s="8">
        <f t="shared" si="66"/>
        <v>130.17082793177758</v>
      </c>
      <c r="L248" s="8">
        <f t="shared" si="66"/>
        <v>117.85113019775793</v>
      </c>
      <c r="M248" s="8">
        <f t="shared" si="66"/>
        <v>97.182531580755025</v>
      </c>
      <c r="N248" s="8">
        <f t="shared" si="66"/>
        <v>89.752746785575056</v>
      </c>
      <c r="O248" s="8">
        <f t="shared" si="66"/>
        <v>83.333333333333343</v>
      </c>
      <c r="P248" s="8">
        <f t="shared" si="66"/>
        <v>186.33899812498248</v>
      </c>
      <c r="Q248" s="8">
        <f t="shared" si="66"/>
        <v>216.66666666666666</v>
      </c>
      <c r="R248" s="8">
        <f t="shared" si="66"/>
        <v>232.13980461973534</v>
      </c>
      <c r="S248" s="8">
        <f t="shared" si="66"/>
        <v>263.52313834736492</v>
      </c>
      <c r="T248" s="8">
        <f t="shared" si="66"/>
        <v>279.38424357067021</v>
      </c>
      <c r="U248" s="8">
        <f t="shared" si="66"/>
        <v>100</v>
      </c>
      <c r="V248" s="8">
        <f t="shared" si="66"/>
        <v>83.333333333333343</v>
      </c>
      <c r="W248" s="8">
        <f t="shared" si="66"/>
        <v>50</v>
      </c>
      <c r="X248" s="8">
        <f t="shared" si="66"/>
        <v>33.333333333333336</v>
      </c>
      <c r="Y248" s="8">
        <f t="shared" si="66"/>
        <v>8333.3333333333339</v>
      </c>
      <c r="Z248" s="8">
        <f t="shared" si="66"/>
        <v>166.66666666666669</v>
      </c>
      <c r="AA248" s="8">
        <f t="shared" si="66"/>
        <v>200</v>
      </c>
      <c r="AB248" s="8">
        <f t="shared" si="66"/>
        <v>216.66666666666666</v>
      </c>
      <c r="AC248" s="8">
        <f t="shared" si="66"/>
        <v>250.00000000000003</v>
      </c>
      <c r="AD248" s="8">
        <f t="shared" si="66"/>
        <v>266.66666666666669</v>
      </c>
      <c r="AE248" s="8">
        <f t="shared" si="66"/>
        <v>130.17082793177758</v>
      </c>
      <c r="AF248" s="8">
        <f t="shared" si="66"/>
        <v>117.85113019775793</v>
      </c>
      <c r="AG248" s="8">
        <f t="shared" si="66"/>
        <v>97.182531580755025</v>
      </c>
      <c r="AH248" s="8">
        <f t="shared" si="66"/>
        <v>89.752746785575056</v>
      </c>
      <c r="AI248" s="8">
        <f t="shared" si="66"/>
        <v>83.333333333333343</v>
      </c>
      <c r="AJ248" s="8">
        <f t="shared" si="66"/>
        <v>269.2582403567252</v>
      </c>
      <c r="AK248" s="8">
        <f t="shared" si="66"/>
        <v>216.66666666666666</v>
      </c>
      <c r="AL248" s="8">
        <f t="shared" si="66"/>
        <v>232.13980461973534</v>
      </c>
      <c r="AM248" s="8">
        <f t="shared" si="66"/>
        <v>263.52313834736492</v>
      </c>
      <c r="AN248" s="8">
        <f t="shared" si="66"/>
        <v>279.38424357067021</v>
      </c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</row>
    <row r="249" spans="4:72" s="59" customFormat="1" x14ac:dyDescent="0.25">
      <c r="D249" s="58"/>
      <c r="H249"/>
      <c r="I249"/>
      <c r="J249" s="8">
        <f t="shared" si="66"/>
        <v>186.33899812498248</v>
      </c>
      <c r="K249" s="8">
        <f t="shared" si="66"/>
        <v>279.38424357067021</v>
      </c>
      <c r="L249" s="8">
        <f t="shared" si="66"/>
        <v>263.52313834736492</v>
      </c>
      <c r="M249" s="8">
        <f t="shared" si="66"/>
        <v>232.13980461973534</v>
      </c>
      <c r="N249" s="8">
        <f t="shared" si="66"/>
        <v>216.66666666666666</v>
      </c>
      <c r="O249" s="8">
        <f t="shared" si="66"/>
        <v>186.33899812498248</v>
      </c>
      <c r="P249" s="8">
        <f t="shared" si="66"/>
        <v>83.333333333333343</v>
      </c>
      <c r="Q249" s="8">
        <f t="shared" si="66"/>
        <v>89.752746785575056</v>
      </c>
      <c r="R249" s="8">
        <f t="shared" si="66"/>
        <v>97.182531580755025</v>
      </c>
      <c r="S249" s="8">
        <f t="shared" si="66"/>
        <v>117.85113019775793</v>
      </c>
      <c r="T249" s="8">
        <f t="shared" si="66"/>
        <v>130.17082793177758</v>
      </c>
      <c r="U249" s="8">
        <f t="shared" si="66"/>
        <v>266.66666666666669</v>
      </c>
      <c r="V249" s="8">
        <f t="shared" si="66"/>
        <v>250.00000000000003</v>
      </c>
      <c r="W249" s="8">
        <f t="shared" si="66"/>
        <v>216.66666666666666</v>
      </c>
      <c r="X249" s="8">
        <f t="shared" si="66"/>
        <v>200</v>
      </c>
      <c r="Y249" s="8">
        <f t="shared" si="66"/>
        <v>166.66666666666669</v>
      </c>
      <c r="Z249" s="8">
        <f t="shared" si="66"/>
        <v>8333.3333333333339</v>
      </c>
      <c r="AA249" s="8">
        <f t="shared" si="66"/>
        <v>33.333333333333336</v>
      </c>
      <c r="AB249" s="8">
        <f t="shared" si="66"/>
        <v>50</v>
      </c>
      <c r="AC249" s="8">
        <f t="shared" si="66"/>
        <v>83.333333333333343</v>
      </c>
      <c r="AD249" s="8">
        <f t="shared" si="66"/>
        <v>100</v>
      </c>
      <c r="AE249" s="8">
        <f t="shared" si="66"/>
        <v>279.38424357067021</v>
      </c>
      <c r="AF249" s="8">
        <f t="shared" si="66"/>
        <v>263.52313834736492</v>
      </c>
      <c r="AG249" s="8">
        <f t="shared" si="66"/>
        <v>232.13980461973534</v>
      </c>
      <c r="AH249" s="8">
        <f t="shared" si="66"/>
        <v>216.66666666666666</v>
      </c>
      <c r="AI249" s="8">
        <f t="shared" si="66"/>
        <v>186.33899812498248</v>
      </c>
      <c r="AJ249" s="8">
        <f t="shared" si="66"/>
        <v>130.17082793177758</v>
      </c>
      <c r="AK249" s="8">
        <f t="shared" si="66"/>
        <v>89.752746785575056</v>
      </c>
      <c r="AL249" s="8">
        <f t="shared" si="66"/>
        <v>97.182531580755025</v>
      </c>
      <c r="AM249" s="8">
        <f t="shared" si="66"/>
        <v>117.85113019775793</v>
      </c>
      <c r="AN249" s="8">
        <f t="shared" si="66"/>
        <v>130.17082793177758</v>
      </c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</row>
    <row r="250" spans="4:72" s="59" customFormat="1" x14ac:dyDescent="0.25">
      <c r="D250" s="58"/>
      <c r="H250"/>
      <c r="I250"/>
      <c r="J250" s="8">
        <f t="shared" si="66"/>
        <v>203.44259359556173</v>
      </c>
      <c r="K250" s="8">
        <f t="shared" si="66"/>
        <v>311.35902820449007</v>
      </c>
      <c r="L250" s="8">
        <f t="shared" si="66"/>
        <v>295.33408577782251</v>
      </c>
      <c r="M250" s="8">
        <f t="shared" si="66"/>
        <v>263.52313834736492</v>
      </c>
      <c r="N250" s="8">
        <f t="shared" si="66"/>
        <v>247.76781245530844</v>
      </c>
      <c r="O250" s="8">
        <f t="shared" si="66"/>
        <v>216.66666666666666</v>
      </c>
      <c r="P250" s="8">
        <f t="shared" si="66"/>
        <v>89.752746785575056</v>
      </c>
      <c r="Q250" s="8">
        <f t="shared" si="66"/>
        <v>83.333333333333343</v>
      </c>
      <c r="R250" s="8">
        <f t="shared" si="66"/>
        <v>84.983658559879743</v>
      </c>
      <c r="S250" s="8">
        <f t="shared" si="66"/>
        <v>97.182531580755025</v>
      </c>
      <c r="T250" s="8">
        <f t="shared" si="66"/>
        <v>106.71873729054749</v>
      </c>
      <c r="U250" s="8">
        <f t="shared" si="66"/>
        <v>300</v>
      </c>
      <c r="V250" s="8">
        <f t="shared" si="66"/>
        <v>283.33333333333331</v>
      </c>
      <c r="W250" s="8">
        <f t="shared" si="66"/>
        <v>250.00000000000003</v>
      </c>
      <c r="X250" s="8">
        <f t="shared" si="66"/>
        <v>233.33333333333337</v>
      </c>
      <c r="Y250" s="8">
        <f t="shared" si="66"/>
        <v>200</v>
      </c>
      <c r="Z250" s="8">
        <f t="shared" si="66"/>
        <v>33.333333333333336</v>
      </c>
      <c r="AA250" s="8">
        <f t="shared" si="66"/>
        <v>8333.3333333333339</v>
      </c>
      <c r="AB250" s="8">
        <f t="shared" si="66"/>
        <v>16.666666666666668</v>
      </c>
      <c r="AC250" s="8">
        <f t="shared" si="66"/>
        <v>50</v>
      </c>
      <c r="AD250" s="8">
        <f t="shared" si="66"/>
        <v>66.666666666666671</v>
      </c>
      <c r="AE250" s="8">
        <f t="shared" si="66"/>
        <v>311.35902820449007</v>
      </c>
      <c r="AF250" s="8">
        <f t="shared" si="66"/>
        <v>295.33408577782251</v>
      </c>
      <c r="AG250" s="8">
        <f t="shared" si="66"/>
        <v>263.52313834736492</v>
      </c>
      <c r="AH250" s="8">
        <f t="shared" si="66"/>
        <v>247.76781245530844</v>
      </c>
      <c r="AI250" s="8">
        <f t="shared" si="66"/>
        <v>216.66666666666666</v>
      </c>
      <c r="AJ250" s="8">
        <f t="shared" si="66"/>
        <v>111.8033988749895</v>
      </c>
      <c r="AK250" s="8">
        <f t="shared" si="66"/>
        <v>83.333333333333343</v>
      </c>
      <c r="AL250" s="8">
        <f t="shared" si="66"/>
        <v>84.983658559879743</v>
      </c>
      <c r="AM250" s="8">
        <f t="shared" si="66"/>
        <v>97.182531580755025</v>
      </c>
      <c r="AN250" s="8">
        <f t="shared" si="66"/>
        <v>106.71873729054749</v>
      </c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</row>
    <row r="251" spans="4:72" s="59" customFormat="1" x14ac:dyDescent="0.25">
      <c r="D251" s="58"/>
      <c r="H251"/>
      <c r="I251"/>
      <c r="J251" s="8">
        <f t="shared" si="66"/>
        <v>213.43747458109499</v>
      </c>
      <c r="K251" s="8">
        <f t="shared" si="66"/>
        <v>327.44804507314166</v>
      </c>
      <c r="L251" s="8">
        <f t="shared" si="66"/>
        <v>311.35902820449007</v>
      </c>
      <c r="M251" s="8">
        <f t="shared" si="66"/>
        <v>279.38424357067021</v>
      </c>
      <c r="N251" s="8">
        <f t="shared" si="66"/>
        <v>263.52313834736492</v>
      </c>
      <c r="O251" s="8">
        <f t="shared" si="66"/>
        <v>232.13980461973534</v>
      </c>
      <c r="P251" s="8">
        <f t="shared" si="66"/>
        <v>97.182531580755025</v>
      </c>
      <c r="Q251" s="8">
        <f t="shared" ref="Q251:AN251" si="67">Q213*60</f>
        <v>84.983658559879743</v>
      </c>
      <c r="R251" s="8">
        <f t="shared" si="67"/>
        <v>83.333333333333343</v>
      </c>
      <c r="S251" s="8">
        <f t="shared" si="67"/>
        <v>89.752746785575056</v>
      </c>
      <c r="T251" s="8">
        <f t="shared" si="67"/>
        <v>97.182531580755025</v>
      </c>
      <c r="U251" s="8">
        <f t="shared" si="67"/>
        <v>316.66666666666669</v>
      </c>
      <c r="V251" s="8">
        <f t="shared" si="67"/>
        <v>300</v>
      </c>
      <c r="W251" s="8">
        <f t="shared" si="67"/>
        <v>266.66666666666669</v>
      </c>
      <c r="X251" s="8">
        <f t="shared" si="67"/>
        <v>250.00000000000003</v>
      </c>
      <c r="Y251" s="8">
        <f t="shared" si="67"/>
        <v>216.66666666666666</v>
      </c>
      <c r="Z251" s="8">
        <f t="shared" si="67"/>
        <v>50</v>
      </c>
      <c r="AA251" s="8">
        <f t="shared" si="67"/>
        <v>16.666666666666668</v>
      </c>
      <c r="AB251" s="8">
        <f t="shared" si="67"/>
        <v>8333.3333333333339</v>
      </c>
      <c r="AC251" s="8">
        <f t="shared" si="67"/>
        <v>33.333333333333336</v>
      </c>
      <c r="AD251" s="8">
        <f t="shared" si="67"/>
        <v>50</v>
      </c>
      <c r="AE251" s="8">
        <f t="shared" si="67"/>
        <v>327.44804507314166</v>
      </c>
      <c r="AF251" s="8">
        <f t="shared" si="67"/>
        <v>311.35902820449007</v>
      </c>
      <c r="AG251" s="8">
        <f t="shared" si="67"/>
        <v>279.38424357067021</v>
      </c>
      <c r="AH251" s="8">
        <f t="shared" si="67"/>
        <v>263.52313834736492</v>
      </c>
      <c r="AI251" s="8">
        <f t="shared" si="67"/>
        <v>232.13980461973534</v>
      </c>
      <c r="AJ251" s="8">
        <f t="shared" si="67"/>
        <v>105.40925533894598</v>
      </c>
      <c r="AK251" s="8">
        <f t="shared" si="67"/>
        <v>84.983658559879743</v>
      </c>
      <c r="AL251" s="8">
        <f t="shared" si="67"/>
        <v>83.333333333333343</v>
      </c>
      <c r="AM251" s="8">
        <f t="shared" si="67"/>
        <v>89.752746785575056</v>
      </c>
      <c r="AN251" s="8">
        <f t="shared" si="67"/>
        <v>97.182531580755025</v>
      </c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</row>
    <row r="252" spans="4:72" s="59" customFormat="1" x14ac:dyDescent="0.25">
      <c r="D252" s="58"/>
      <c r="H252"/>
      <c r="I252"/>
      <c r="J252" s="8">
        <f t="shared" ref="J252:AN260" si="68">J214*60</f>
        <v>235.70226039551585</v>
      </c>
      <c r="K252" s="8">
        <f t="shared" si="68"/>
        <v>359.78388574871502</v>
      </c>
      <c r="L252" s="8">
        <f t="shared" si="68"/>
        <v>343.59213546813839</v>
      </c>
      <c r="M252" s="8">
        <f t="shared" si="68"/>
        <v>311.35902820449007</v>
      </c>
      <c r="N252" s="8">
        <f t="shared" si="68"/>
        <v>295.33408577782251</v>
      </c>
      <c r="O252" s="8">
        <f t="shared" si="68"/>
        <v>263.52313834736492</v>
      </c>
      <c r="P252" s="8">
        <f t="shared" si="68"/>
        <v>117.85113019775793</v>
      </c>
      <c r="Q252" s="8">
        <f t="shared" si="68"/>
        <v>97.182531580755025</v>
      </c>
      <c r="R252" s="8">
        <f t="shared" si="68"/>
        <v>89.752746785575056</v>
      </c>
      <c r="S252" s="8">
        <f t="shared" si="68"/>
        <v>83.333333333333343</v>
      </c>
      <c r="T252" s="8">
        <f t="shared" si="68"/>
        <v>84.983658559879743</v>
      </c>
      <c r="U252" s="8">
        <f t="shared" si="68"/>
        <v>350</v>
      </c>
      <c r="V252" s="8">
        <f t="shared" si="68"/>
        <v>333.33333333333337</v>
      </c>
      <c r="W252" s="8">
        <f t="shared" si="68"/>
        <v>300</v>
      </c>
      <c r="X252" s="8">
        <f t="shared" si="68"/>
        <v>283.33333333333331</v>
      </c>
      <c r="Y252" s="8">
        <f t="shared" si="68"/>
        <v>250.00000000000003</v>
      </c>
      <c r="Z252" s="8">
        <f t="shared" si="68"/>
        <v>83.333333333333343</v>
      </c>
      <c r="AA252" s="8">
        <f t="shared" si="68"/>
        <v>50</v>
      </c>
      <c r="AB252" s="8">
        <f t="shared" si="68"/>
        <v>33.333333333333336</v>
      </c>
      <c r="AC252" s="8">
        <f t="shared" si="68"/>
        <v>8333.3333333333339</v>
      </c>
      <c r="AD252" s="8">
        <f t="shared" si="68"/>
        <v>16.666666666666668</v>
      </c>
      <c r="AE252" s="8">
        <f t="shared" si="68"/>
        <v>359.78388574871502</v>
      </c>
      <c r="AF252" s="8">
        <f t="shared" si="68"/>
        <v>343.59213546813839</v>
      </c>
      <c r="AG252" s="8">
        <f t="shared" si="68"/>
        <v>311.35902820449007</v>
      </c>
      <c r="AH252" s="8">
        <f t="shared" si="68"/>
        <v>295.33408577782251</v>
      </c>
      <c r="AI252" s="8">
        <f t="shared" si="68"/>
        <v>263.52313834736492</v>
      </c>
      <c r="AJ252" s="8">
        <f t="shared" si="68"/>
        <v>100</v>
      </c>
      <c r="AK252" s="8">
        <f t="shared" si="68"/>
        <v>97.182531580755025</v>
      </c>
      <c r="AL252" s="8">
        <f t="shared" si="68"/>
        <v>89.752746785575056</v>
      </c>
      <c r="AM252" s="8">
        <f t="shared" si="68"/>
        <v>83.333333333333343</v>
      </c>
      <c r="AN252" s="8">
        <f t="shared" si="68"/>
        <v>84.983658559879743</v>
      </c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</row>
    <row r="253" spans="4:72" s="59" customFormat="1" x14ac:dyDescent="0.25">
      <c r="D253" s="58"/>
      <c r="H253"/>
      <c r="I253"/>
      <c r="J253" s="8">
        <f t="shared" si="68"/>
        <v>247.76781245530844</v>
      </c>
      <c r="K253" s="8">
        <f t="shared" si="68"/>
        <v>376.01713908928264</v>
      </c>
      <c r="L253" s="8">
        <f t="shared" si="68"/>
        <v>359.78388574871502</v>
      </c>
      <c r="M253" s="8">
        <f t="shared" si="68"/>
        <v>327.44804507314166</v>
      </c>
      <c r="N253" s="8">
        <f t="shared" si="68"/>
        <v>311.35902820449007</v>
      </c>
      <c r="O253" s="8">
        <f t="shared" si="68"/>
        <v>279.38424357067021</v>
      </c>
      <c r="P253" s="8">
        <f t="shared" si="68"/>
        <v>130.17082793177758</v>
      </c>
      <c r="Q253" s="8">
        <f t="shared" si="68"/>
        <v>106.71873729054749</v>
      </c>
      <c r="R253" s="8">
        <f t="shared" si="68"/>
        <v>97.182531580755025</v>
      </c>
      <c r="S253" s="8">
        <f t="shared" si="68"/>
        <v>84.983658559879743</v>
      </c>
      <c r="T253" s="8">
        <f t="shared" si="68"/>
        <v>83.333333333333343</v>
      </c>
      <c r="U253" s="8">
        <f t="shared" si="68"/>
        <v>366.66666666666669</v>
      </c>
      <c r="V253" s="8">
        <f t="shared" si="68"/>
        <v>350</v>
      </c>
      <c r="W253" s="8">
        <f t="shared" si="68"/>
        <v>316.66666666666669</v>
      </c>
      <c r="X253" s="8">
        <f t="shared" si="68"/>
        <v>300</v>
      </c>
      <c r="Y253" s="8">
        <f t="shared" si="68"/>
        <v>266.66666666666669</v>
      </c>
      <c r="Z253" s="8">
        <f t="shared" si="68"/>
        <v>100</v>
      </c>
      <c r="AA253" s="8">
        <f t="shared" si="68"/>
        <v>66.666666666666671</v>
      </c>
      <c r="AB253" s="8">
        <f t="shared" si="68"/>
        <v>50</v>
      </c>
      <c r="AC253" s="8">
        <f t="shared" si="68"/>
        <v>16.666666666666668</v>
      </c>
      <c r="AD253" s="8">
        <f t="shared" si="68"/>
        <v>8333.3333333333339</v>
      </c>
      <c r="AE253" s="8">
        <f t="shared" si="68"/>
        <v>376.01713908928264</v>
      </c>
      <c r="AF253" s="8">
        <f t="shared" si="68"/>
        <v>359.78388574871502</v>
      </c>
      <c r="AG253" s="8">
        <f t="shared" si="68"/>
        <v>327.44804507314166</v>
      </c>
      <c r="AH253" s="8">
        <f t="shared" si="68"/>
        <v>311.35902820449007</v>
      </c>
      <c r="AI253" s="8">
        <f t="shared" si="68"/>
        <v>279.38424357067021</v>
      </c>
      <c r="AJ253" s="8">
        <f t="shared" si="68"/>
        <v>101.37937550497033</v>
      </c>
      <c r="AK253" s="8">
        <f t="shared" si="68"/>
        <v>106.71873729054749</v>
      </c>
      <c r="AL253" s="8">
        <f t="shared" si="68"/>
        <v>97.182531580755025</v>
      </c>
      <c r="AM253" s="8">
        <f t="shared" si="68"/>
        <v>84.983658559879743</v>
      </c>
      <c r="AN253" s="8">
        <f t="shared" si="68"/>
        <v>83.333333333333343</v>
      </c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</row>
    <row r="254" spans="4:72" s="59" customFormat="1" x14ac:dyDescent="0.25">
      <c r="D254" s="58"/>
      <c r="H254"/>
      <c r="I254"/>
      <c r="J254" s="8">
        <f t="shared" si="68"/>
        <v>310.0179206289713</v>
      </c>
      <c r="K254" s="8">
        <f t="shared" si="68"/>
        <v>166.66666666666669</v>
      </c>
      <c r="L254" s="8">
        <f t="shared" si="68"/>
        <v>167.49792701868154</v>
      </c>
      <c r="M254" s="8">
        <f t="shared" si="68"/>
        <v>174.00510848184248</v>
      </c>
      <c r="N254" s="8">
        <f t="shared" si="68"/>
        <v>179.50549357115011</v>
      </c>
      <c r="O254" s="8">
        <f t="shared" si="68"/>
        <v>194.36506316151005</v>
      </c>
      <c r="P254" s="8">
        <f t="shared" si="68"/>
        <v>314.46603773522008</v>
      </c>
      <c r="Q254" s="8">
        <f t="shared" si="68"/>
        <v>343.18767136623336</v>
      </c>
      <c r="R254" s="8">
        <f t="shared" si="68"/>
        <v>357.84850922639816</v>
      </c>
      <c r="S254" s="8">
        <f t="shared" si="68"/>
        <v>387.6567783204336</v>
      </c>
      <c r="T254" s="8">
        <f t="shared" si="68"/>
        <v>402.76819911981914</v>
      </c>
      <c r="U254" s="8">
        <f t="shared" si="68"/>
        <v>83.333333333333343</v>
      </c>
      <c r="V254" s="8">
        <f t="shared" si="68"/>
        <v>84.983658559879743</v>
      </c>
      <c r="W254" s="8">
        <f t="shared" si="68"/>
        <v>97.182531580755025</v>
      </c>
      <c r="X254" s="8">
        <f t="shared" si="68"/>
        <v>106.71873729054749</v>
      </c>
      <c r="Y254" s="8">
        <f t="shared" si="68"/>
        <v>130.17082793177758</v>
      </c>
      <c r="Z254" s="8">
        <f t="shared" si="68"/>
        <v>279.38424357067021</v>
      </c>
      <c r="AA254" s="8">
        <f t="shared" si="68"/>
        <v>311.35902820449007</v>
      </c>
      <c r="AB254" s="8">
        <f t="shared" si="68"/>
        <v>327.44804507314166</v>
      </c>
      <c r="AC254" s="8">
        <f t="shared" si="68"/>
        <v>359.78388574871502</v>
      </c>
      <c r="AD254" s="8">
        <f t="shared" si="68"/>
        <v>376.01713908928264</v>
      </c>
      <c r="AE254" s="8">
        <f t="shared" si="68"/>
        <v>8333.3333333333339</v>
      </c>
      <c r="AF254" s="8">
        <f t="shared" si="68"/>
        <v>16.666666666666668</v>
      </c>
      <c r="AG254" s="8">
        <f t="shared" si="68"/>
        <v>50</v>
      </c>
      <c r="AH254" s="8">
        <f t="shared" si="68"/>
        <v>66.666666666666671</v>
      </c>
      <c r="AI254" s="8">
        <f t="shared" si="68"/>
        <v>100</v>
      </c>
      <c r="AJ254" s="8">
        <f t="shared" si="68"/>
        <v>350.39660069381068</v>
      </c>
      <c r="AK254" s="8">
        <f t="shared" si="68"/>
        <v>300</v>
      </c>
      <c r="AL254" s="8">
        <f t="shared" si="68"/>
        <v>316.66666666666669</v>
      </c>
      <c r="AM254" s="8">
        <f t="shared" si="68"/>
        <v>350</v>
      </c>
      <c r="AN254" s="8">
        <f t="shared" si="68"/>
        <v>366.66666666666669</v>
      </c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</row>
    <row r="255" spans="4:72" s="59" customFormat="1" x14ac:dyDescent="0.25">
      <c r="D255" s="58"/>
      <c r="H255"/>
      <c r="I255"/>
      <c r="J255" s="8">
        <f t="shared" si="68"/>
        <v>300.46260628866577</v>
      </c>
      <c r="K255" s="8">
        <f t="shared" si="68"/>
        <v>167.49792701868154</v>
      </c>
      <c r="L255" s="8">
        <f t="shared" si="68"/>
        <v>166.66666666666669</v>
      </c>
      <c r="M255" s="8">
        <f t="shared" si="68"/>
        <v>169.96731711975949</v>
      </c>
      <c r="N255" s="8">
        <f t="shared" si="68"/>
        <v>174.00510848184248</v>
      </c>
      <c r="O255" s="8">
        <f t="shared" si="68"/>
        <v>186.33899812498248</v>
      </c>
      <c r="P255" s="8">
        <f t="shared" si="68"/>
        <v>300.46260628866577</v>
      </c>
      <c r="Q255" s="8">
        <f t="shared" si="68"/>
        <v>328.71804872193371</v>
      </c>
      <c r="R255" s="8">
        <f t="shared" si="68"/>
        <v>343.18767136623336</v>
      </c>
      <c r="S255" s="8">
        <f t="shared" si="68"/>
        <v>372.67799624996496</v>
      </c>
      <c r="T255" s="8">
        <f t="shared" si="68"/>
        <v>387.6567783204336</v>
      </c>
      <c r="U255" s="8">
        <f t="shared" si="68"/>
        <v>84.983658559879743</v>
      </c>
      <c r="V255" s="8">
        <f t="shared" si="68"/>
        <v>83.333333333333343</v>
      </c>
      <c r="W255" s="8">
        <f t="shared" si="68"/>
        <v>89.752746785575056</v>
      </c>
      <c r="X255" s="8">
        <f t="shared" si="68"/>
        <v>97.182531580755025</v>
      </c>
      <c r="Y255" s="8">
        <f t="shared" si="68"/>
        <v>117.85113019775793</v>
      </c>
      <c r="Z255" s="8">
        <f t="shared" si="68"/>
        <v>263.52313834736492</v>
      </c>
      <c r="AA255" s="8">
        <f t="shared" si="68"/>
        <v>295.33408577782251</v>
      </c>
      <c r="AB255" s="8">
        <f t="shared" si="68"/>
        <v>311.35902820449007</v>
      </c>
      <c r="AC255" s="8">
        <f t="shared" si="68"/>
        <v>343.59213546813839</v>
      </c>
      <c r="AD255" s="8">
        <f t="shared" si="68"/>
        <v>359.78388574871502</v>
      </c>
      <c r="AE255" s="8">
        <f t="shared" si="68"/>
        <v>16.666666666666668</v>
      </c>
      <c r="AF255" s="8">
        <f t="shared" si="68"/>
        <v>8333.3333333333339</v>
      </c>
      <c r="AG255" s="8">
        <f t="shared" si="68"/>
        <v>33.333333333333336</v>
      </c>
      <c r="AH255" s="8">
        <f t="shared" si="68"/>
        <v>50</v>
      </c>
      <c r="AI255" s="8">
        <f t="shared" si="68"/>
        <v>83.333333333333343</v>
      </c>
      <c r="AJ255" s="8">
        <f t="shared" si="68"/>
        <v>333.74973990834644</v>
      </c>
      <c r="AK255" s="8">
        <f t="shared" si="68"/>
        <v>283.33333333333331</v>
      </c>
      <c r="AL255" s="8">
        <f t="shared" si="68"/>
        <v>300</v>
      </c>
      <c r="AM255" s="8">
        <f t="shared" si="68"/>
        <v>333.33333333333337</v>
      </c>
      <c r="AN255" s="8">
        <f t="shared" si="68"/>
        <v>350</v>
      </c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</row>
    <row r="256" spans="4:72" s="59" customFormat="1" x14ac:dyDescent="0.25">
      <c r="D256" s="58"/>
      <c r="H256"/>
      <c r="I256"/>
      <c r="J256" s="8">
        <f t="shared" si="68"/>
        <v>283.33333333333331</v>
      </c>
      <c r="K256" s="8">
        <f t="shared" si="68"/>
        <v>174.00510848184248</v>
      </c>
      <c r="L256" s="8">
        <f t="shared" si="68"/>
        <v>169.96731711975949</v>
      </c>
      <c r="M256" s="8">
        <f t="shared" si="68"/>
        <v>166.66666666666669</v>
      </c>
      <c r="N256" s="8">
        <f t="shared" si="68"/>
        <v>167.49792701868154</v>
      </c>
      <c r="O256" s="8">
        <f t="shared" si="68"/>
        <v>174.00510848184248</v>
      </c>
      <c r="P256" s="8">
        <f t="shared" si="68"/>
        <v>273.35365778094541</v>
      </c>
      <c r="Q256" s="8">
        <f t="shared" si="68"/>
        <v>300.46260628866577</v>
      </c>
      <c r="R256" s="8">
        <f t="shared" si="68"/>
        <v>314.46603773522008</v>
      </c>
      <c r="S256" s="8">
        <f t="shared" si="68"/>
        <v>343.18767136623336</v>
      </c>
      <c r="T256" s="8">
        <f t="shared" si="68"/>
        <v>357.84850922639816</v>
      </c>
      <c r="U256" s="8">
        <f t="shared" si="68"/>
        <v>97.182531580755025</v>
      </c>
      <c r="V256" s="8">
        <f t="shared" si="68"/>
        <v>89.752746785575056</v>
      </c>
      <c r="W256" s="8">
        <f t="shared" si="68"/>
        <v>83.333333333333343</v>
      </c>
      <c r="X256" s="8">
        <f t="shared" si="68"/>
        <v>84.983658559879743</v>
      </c>
      <c r="Y256" s="8">
        <f t="shared" si="68"/>
        <v>97.182531580755025</v>
      </c>
      <c r="Z256" s="8">
        <f t="shared" si="68"/>
        <v>232.13980461973534</v>
      </c>
      <c r="AA256" s="8">
        <f t="shared" si="68"/>
        <v>263.52313834736492</v>
      </c>
      <c r="AB256" s="8">
        <f t="shared" si="68"/>
        <v>279.38424357067021</v>
      </c>
      <c r="AC256" s="8">
        <f t="shared" si="68"/>
        <v>311.35902820449007</v>
      </c>
      <c r="AD256" s="8">
        <f t="shared" si="68"/>
        <v>327.44804507314166</v>
      </c>
      <c r="AE256" s="8">
        <f t="shared" si="68"/>
        <v>50</v>
      </c>
      <c r="AF256" s="8">
        <f t="shared" si="68"/>
        <v>33.333333333333336</v>
      </c>
      <c r="AG256" s="8">
        <f t="shared" si="68"/>
        <v>8333.3333333333339</v>
      </c>
      <c r="AH256" s="8">
        <f t="shared" si="68"/>
        <v>16.666666666666668</v>
      </c>
      <c r="AI256" s="8">
        <f t="shared" si="68"/>
        <v>50</v>
      </c>
      <c r="AJ256" s="8">
        <f t="shared" si="68"/>
        <v>300.46260628866577</v>
      </c>
      <c r="AK256" s="8">
        <f t="shared" si="68"/>
        <v>250.00000000000003</v>
      </c>
      <c r="AL256" s="8">
        <f t="shared" si="68"/>
        <v>266.66666666666669</v>
      </c>
      <c r="AM256" s="8">
        <f t="shared" si="68"/>
        <v>300</v>
      </c>
      <c r="AN256" s="8">
        <f t="shared" si="68"/>
        <v>316.66666666666669</v>
      </c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</row>
    <row r="257" spans="4:72" s="59" customFormat="1" x14ac:dyDescent="0.25">
      <c r="D257" s="58"/>
      <c r="H257"/>
      <c r="I257"/>
      <c r="J257" s="8">
        <f t="shared" si="68"/>
        <v>275.88242262078086</v>
      </c>
      <c r="K257" s="8">
        <f t="shared" si="68"/>
        <v>179.50549357115011</v>
      </c>
      <c r="L257" s="8">
        <f t="shared" si="68"/>
        <v>174.00510848184248</v>
      </c>
      <c r="M257" s="8">
        <f t="shared" si="68"/>
        <v>167.49792701868154</v>
      </c>
      <c r="N257" s="8">
        <f t="shared" si="68"/>
        <v>166.66666666666669</v>
      </c>
      <c r="O257" s="8">
        <f t="shared" si="68"/>
        <v>169.96731711975949</v>
      </c>
      <c r="P257" s="8">
        <f t="shared" si="68"/>
        <v>260.34165586355516</v>
      </c>
      <c r="Q257" s="8">
        <f t="shared" si="68"/>
        <v>286.74417556808754</v>
      </c>
      <c r="R257" s="8">
        <f t="shared" si="68"/>
        <v>300.46260628866577</v>
      </c>
      <c r="S257" s="8">
        <f t="shared" si="68"/>
        <v>328.71804872193371</v>
      </c>
      <c r="T257" s="8">
        <f t="shared" si="68"/>
        <v>343.18767136623336</v>
      </c>
      <c r="U257" s="8">
        <f t="shared" si="68"/>
        <v>106.71873729054749</v>
      </c>
      <c r="V257" s="8">
        <f t="shared" si="68"/>
        <v>97.182531580755025</v>
      </c>
      <c r="W257" s="8">
        <f t="shared" si="68"/>
        <v>84.983658559879743</v>
      </c>
      <c r="X257" s="8">
        <f t="shared" si="68"/>
        <v>83.333333333333343</v>
      </c>
      <c r="Y257" s="8">
        <f t="shared" si="68"/>
        <v>89.752746785575056</v>
      </c>
      <c r="Z257" s="8">
        <f t="shared" si="68"/>
        <v>216.66666666666666</v>
      </c>
      <c r="AA257" s="8">
        <f t="shared" si="68"/>
        <v>247.76781245530844</v>
      </c>
      <c r="AB257" s="8">
        <f t="shared" si="68"/>
        <v>263.52313834736492</v>
      </c>
      <c r="AC257" s="8">
        <f t="shared" si="68"/>
        <v>295.33408577782251</v>
      </c>
      <c r="AD257" s="8">
        <f t="shared" si="68"/>
        <v>311.35902820449007</v>
      </c>
      <c r="AE257" s="8">
        <f t="shared" si="68"/>
        <v>66.666666666666671</v>
      </c>
      <c r="AF257" s="8">
        <f t="shared" si="68"/>
        <v>50</v>
      </c>
      <c r="AG257" s="8">
        <f t="shared" si="68"/>
        <v>16.666666666666668</v>
      </c>
      <c r="AH257" s="8">
        <f t="shared" si="68"/>
        <v>8333.3333333333339</v>
      </c>
      <c r="AI257" s="8">
        <f t="shared" si="68"/>
        <v>33.333333333333336</v>
      </c>
      <c r="AJ257" s="8">
        <f t="shared" si="68"/>
        <v>283.82310609877339</v>
      </c>
      <c r="AK257" s="8">
        <f t="shared" si="68"/>
        <v>233.33333333333337</v>
      </c>
      <c r="AL257" s="8">
        <f t="shared" si="68"/>
        <v>250.00000000000003</v>
      </c>
      <c r="AM257" s="8">
        <f t="shared" si="68"/>
        <v>283.33333333333331</v>
      </c>
      <c r="AN257" s="8">
        <f t="shared" si="68"/>
        <v>300</v>
      </c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</row>
    <row r="258" spans="4:72" s="59" customFormat="1" x14ac:dyDescent="0.25">
      <c r="D258" s="58"/>
      <c r="H258"/>
      <c r="I258"/>
      <c r="J258" s="8">
        <f t="shared" si="68"/>
        <v>263.52313834736492</v>
      </c>
      <c r="K258" s="8">
        <f t="shared" si="68"/>
        <v>194.36506316151005</v>
      </c>
      <c r="L258" s="8">
        <f t="shared" si="68"/>
        <v>186.33899812498248</v>
      </c>
      <c r="M258" s="8">
        <f t="shared" si="68"/>
        <v>174.00510848184248</v>
      </c>
      <c r="N258" s="8">
        <f t="shared" si="68"/>
        <v>169.96731711975949</v>
      </c>
      <c r="O258" s="8">
        <f t="shared" si="68"/>
        <v>166.66666666666669</v>
      </c>
      <c r="P258" s="8">
        <f t="shared" si="68"/>
        <v>235.70226039551585</v>
      </c>
      <c r="Q258" s="8">
        <f t="shared" si="68"/>
        <v>260.34165586355516</v>
      </c>
      <c r="R258" s="8">
        <f t="shared" si="68"/>
        <v>273.35365778094541</v>
      </c>
      <c r="S258" s="8">
        <f t="shared" si="68"/>
        <v>300.46260628866577</v>
      </c>
      <c r="T258" s="8">
        <f t="shared" si="68"/>
        <v>314.46603773522008</v>
      </c>
      <c r="U258" s="8">
        <f t="shared" si="68"/>
        <v>130.17082793177758</v>
      </c>
      <c r="V258" s="8">
        <f t="shared" si="68"/>
        <v>117.85113019775793</v>
      </c>
      <c r="W258" s="8">
        <f t="shared" si="68"/>
        <v>97.182531580755025</v>
      </c>
      <c r="X258" s="8">
        <f t="shared" si="68"/>
        <v>89.752746785575056</v>
      </c>
      <c r="Y258" s="8">
        <f t="shared" si="68"/>
        <v>83.333333333333343</v>
      </c>
      <c r="Z258" s="8">
        <f t="shared" si="68"/>
        <v>186.33899812498248</v>
      </c>
      <c r="AA258" s="8">
        <f t="shared" si="68"/>
        <v>216.66666666666666</v>
      </c>
      <c r="AB258" s="8">
        <f t="shared" si="68"/>
        <v>232.13980461973534</v>
      </c>
      <c r="AC258" s="8">
        <f t="shared" si="68"/>
        <v>263.52313834736492</v>
      </c>
      <c r="AD258" s="8">
        <f t="shared" si="68"/>
        <v>279.38424357067021</v>
      </c>
      <c r="AE258" s="8">
        <f t="shared" si="68"/>
        <v>100</v>
      </c>
      <c r="AF258" s="8">
        <f t="shared" si="68"/>
        <v>83.333333333333343</v>
      </c>
      <c r="AG258" s="8">
        <f t="shared" si="68"/>
        <v>50</v>
      </c>
      <c r="AH258" s="8">
        <f t="shared" si="68"/>
        <v>33.333333333333336</v>
      </c>
      <c r="AI258" s="8">
        <f t="shared" si="68"/>
        <v>8333.3333333333339</v>
      </c>
      <c r="AJ258" s="8">
        <f t="shared" si="68"/>
        <v>250.55493963954848</v>
      </c>
      <c r="AK258" s="8">
        <f t="shared" si="68"/>
        <v>200</v>
      </c>
      <c r="AL258" s="8">
        <f t="shared" si="68"/>
        <v>216.66666666666666</v>
      </c>
      <c r="AM258" s="8">
        <f t="shared" si="68"/>
        <v>250.00000000000003</v>
      </c>
      <c r="AN258" s="8">
        <f t="shared" si="68"/>
        <v>266.66666666666669</v>
      </c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</row>
    <row r="259" spans="4:72" s="59" customFormat="1" x14ac:dyDescent="0.25">
      <c r="D259" s="58"/>
      <c r="H259"/>
      <c r="I259"/>
      <c r="J259" s="8">
        <f t="shared" si="68"/>
        <v>314.46603773522008</v>
      </c>
      <c r="K259" s="8">
        <f t="shared" si="68"/>
        <v>395.1089863709899</v>
      </c>
      <c r="L259" s="8">
        <f t="shared" si="68"/>
        <v>380.42374035044429</v>
      </c>
      <c r="M259" s="8">
        <f t="shared" si="68"/>
        <v>351.58371849548314</v>
      </c>
      <c r="N259" s="8">
        <f t="shared" si="68"/>
        <v>337.47427885527651</v>
      </c>
      <c r="O259" s="8">
        <f t="shared" si="68"/>
        <v>310.0179206289713</v>
      </c>
      <c r="P259" s="8">
        <f t="shared" si="68"/>
        <v>201.38409955990957</v>
      </c>
      <c r="Q259" s="8">
        <f t="shared" si="68"/>
        <v>190.02923751652301</v>
      </c>
      <c r="R259" s="8">
        <f t="shared" si="68"/>
        <v>186.33899812498248</v>
      </c>
      <c r="S259" s="8">
        <f t="shared" si="68"/>
        <v>183.33333333333334</v>
      </c>
      <c r="T259" s="8">
        <f t="shared" si="68"/>
        <v>184.08935028645439</v>
      </c>
      <c r="U259" s="8">
        <f t="shared" si="68"/>
        <v>364.0054944640259</v>
      </c>
      <c r="V259" s="8">
        <f t="shared" si="68"/>
        <v>348.01021696368497</v>
      </c>
      <c r="W259" s="8">
        <f t="shared" si="68"/>
        <v>316.22776601683796</v>
      </c>
      <c r="X259" s="8">
        <f t="shared" si="68"/>
        <v>300.46260628866577</v>
      </c>
      <c r="Y259" s="8">
        <f t="shared" si="68"/>
        <v>269.2582403567252</v>
      </c>
      <c r="Z259" s="8">
        <f t="shared" si="68"/>
        <v>130.17082793177758</v>
      </c>
      <c r="AA259" s="8">
        <f t="shared" si="68"/>
        <v>111.8033988749895</v>
      </c>
      <c r="AB259" s="8">
        <f t="shared" si="68"/>
        <v>105.40925533894598</v>
      </c>
      <c r="AC259" s="8">
        <f t="shared" si="68"/>
        <v>100</v>
      </c>
      <c r="AD259" s="8">
        <f t="shared" si="68"/>
        <v>101.37937550497033</v>
      </c>
      <c r="AE259" s="8">
        <f t="shared" si="68"/>
        <v>350.39660069381068</v>
      </c>
      <c r="AF259" s="8">
        <f t="shared" si="68"/>
        <v>333.74973990834644</v>
      </c>
      <c r="AG259" s="8">
        <f t="shared" si="68"/>
        <v>300.46260628866577</v>
      </c>
      <c r="AH259" s="8">
        <f t="shared" si="68"/>
        <v>283.82310609877339</v>
      </c>
      <c r="AI259" s="8">
        <f t="shared" si="68"/>
        <v>250.55493963954848</v>
      </c>
      <c r="AJ259" s="8">
        <f t="shared" si="68"/>
        <v>8333.3333333333339</v>
      </c>
      <c r="AK259" s="8">
        <f t="shared" si="68"/>
        <v>52.704627669472991</v>
      </c>
      <c r="AL259" s="8">
        <f t="shared" si="68"/>
        <v>37.267799624996499</v>
      </c>
      <c r="AM259" s="8">
        <f t="shared" si="68"/>
        <v>16.666666666666668</v>
      </c>
      <c r="AN259" s="8">
        <f t="shared" si="68"/>
        <v>23.570226039551585</v>
      </c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</row>
    <row r="260" spans="4:72" x14ac:dyDescent="0.25">
      <c r="J260" s="8">
        <f t="shared" si="68"/>
        <v>275.88242262078086</v>
      </c>
      <c r="K260" s="8">
        <f t="shared" si="68"/>
        <v>343.18767136623336</v>
      </c>
      <c r="L260" s="8">
        <f t="shared" si="68"/>
        <v>328.71804872193371</v>
      </c>
      <c r="M260" s="8">
        <f t="shared" si="68"/>
        <v>300.46260628866577</v>
      </c>
      <c r="N260" s="8">
        <f t="shared" si="68"/>
        <v>286.74417556808754</v>
      </c>
      <c r="O260" s="8">
        <f t="shared" si="68"/>
        <v>260.34165586355516</v>
      </c>
      <c r="P260" s="8">
        <f t="shared" si="68"/>
        <v>169.96731711975949</v>
      </c>
      <c r="Q260" s="8">
        <f t="shared" ref="Q260:AN260" si="69">Q222*60</f>
        <v>166.66666666666669</v>
      </c>
      <c r="R260" s="8">
        <f t="shared" si="69"/>
        <v>167.49792701868154</v>
      </c>
      <c r="S260" s="8">
        <f t="shared" si="69"/>
        <v>174.00510848184248</v>
      </c>
      <c r="T260" s="8">
        <f t="shared" si="69"/>
        <v>179.50549357115011</v>
      </c>
      <c r="U260" s="8">
        <f t="shared" si="69"/>
        <v>311.35902820449007</v>
      </c>
      <c r="V260" s="8">
        <f t="shared" si="69"/>
        <v>295.33408577782251</v>
      </c>
      <c r="W260" s="8">
        <f t="shared" si="69"/>
        <v>263.52313834736492</v>
      </c>
      <c r="X260" s="8">
        <f t="shared" si="69"/>
        <v>247.76781245530844</v>
      </c>
      <c r="Y260" s="8">
        <f t="shared" si="69"/>
        <v>216.66666666666666</v>
      </c>
      <c r="Z260" s="8">
        <f t="shared" si="69"/>
        <v>89.752746785575056</v>
      </c>
      <c r="AA260" s="8">
        <f t="shared" si="69"/>
        <v>83.333333333333343</v>
      </c>
      <c r="AB260" s="8">
        <f t="shared" si="69"/>
        <v>84.983658559879743</v>
      </c>
      <c r="AC260" s="8">
        <f t="shared" si="69"/>
        <v>97.182531580755025</v>
      </c>
      <c r="AD260" s="8">
        <f t="shared" si="69"/>
        <v>106.71873729054749</v>
      </c>
      <c r="AE260" s="8">
        <f t="shared" si="69"/>
        <v>300</v>
      </c>
      <c r="AF260" s="8">
        <f t="shared" si="69"/>
        <v>283.33333333333331</v>
      </c>
      <c r="AG260" s="8">
        <f t="shared" si="69"/>
        <v>250.00000000000003</v>
      </c>
      <c r="AH260" s="8">
        <f t="shared" si="69"/>
        <v>233.33333333333337</v>
      </c>
      <c r="AI260" s="8">
        <f t="shared" si="69"/>
        <v>200</v>
      </c>
      <c r="AJ260" s="8">
        <f t="shared" si="69"/>
        <v>52.704627669472991</v>
      </c>
      <c r="AK260" s="8">
        <f t="shared" si="69"/>
        <v>8333.3333333333339</v>
      </c>
      <c r="AL260" s="8">
        <f t="shared" si="69"/>
        <v>16.666666666666668</v>
      </c>
      <c r="AM260" s="8">
        <f t="shared" si="69"/>
        <v>50</v>
      </c>
      <c r="AN260" s="8">
        <f t="shared" si="69"/>
        <v>66.666666666666671</v>
      </c>
    </row>
    <row r="261" spans="4:72" x14ac:dyDescent="0.25">
      <c r="J261" s="8">
        <f t="shared" ref="J261:AN263" si="70">J223*60</f>
        <v>283.33333333333331</v>
      </c>
      <c r="K261" s="8">
        <f t="shared" si="70"/>
        <v>357.84850922639816</v>
      </c>
      <c r="L261" s="8">
        <f t="shared" si="70"/>
        <v>343.18767136623336</v>
      </c>
      <c r="M261" s="8">
        <f t="shared" si="70"/>
        <v>314.46603773522008</v>
      </c>
      <c r="N261" s="8">
        <f t="shared" si="70"/>
        <v>300.46260628866577</v>
      </c>
      <c r="O261" s="8">
        <f t="shared" si="70"/>
        <v>273.35365778094541</v>
      </c>
      <c r="P261" s="8">
        <f t="shared" si="70"/>
        <v>174.00510848184248</v>
      </c>
      <c r="Q261" s="8">
        <f t="shared" si="70"/>
        <v>167.49792701868154</v>
      </c>
      <c r="R261" s="8">
        <f t="shared" si="70"/>
        <v>166.66666666666669</v>
      </c>
      <c r="S261" s="8">
        <f t="shared" si="70"/>
        <v>169.96731711975949</v>
      </c>
      <c r="T261" s="8">
        <f t="shared" si="70"/>
        <v>174.00510848184248</v>
      </c>
      <c r="U261" s="8">
        <f t="shared" si="70"/>
        <v>327.44804507314166</v>
      </c>
      <c r="V261" s="8">
        <f t="shared" si="70"/>
        <v>311.35902820449007</v>
      </c>
      <c r="W261" s="8">
        <f t="shared" si="70"/>
        <v>279.38424357067021</v>
      </c>
      <c r="X261" s="8">
        <f t="shared" si="70"/>
        <v>263.52313834736492</v>
      </c>
      <c r="Y261" s="8">
        <f t="shared" si="70"/>
        <v>232.13980461973534</v>
      </c>
      <c r="Z261" s="8">
        <f t="shared" si="70"/>
        <v>97.182531580755025</v>
      </c>
      <c r="AA261" s="8">
        <f t="shared" si="70"/>
        <v>84.983658559879743</v>
      </c>
      <c r="AB261" s="8">
        <f t="shared" si="70"/>
        <v>83.333333333333343</v>
      </c>
      <c r="AC261" s="8">
        <f t="shared" si="70"/>
        <v>89.752746785575056</v>
      </c>
      <c r="AD261" s="8">
        <f t="shared" si="70"/>
        <v>97.182531580755025</v>
      </c>
      <c r="AE261" s="8">
        <f t="shared" si="70"/>
        <v>316.66666666666669</v>
      </c>
      <c r="AF261" s="8">
        <f t="shared" si="70"/>
        <v>300</v>
      </c>
      <c r="AG261" s="8">
        <f t="shared" si="70"/>
        <v>266.66666666666669</v>
      </c>
      <c r="AH261" s="8">
        <f t="shared" si="70"/>
        <v>250.00000000000003</v>
      </c>
      <c r="AI261" s="8">
        <f t="shared" si="70"/>
        <v>216.66666666666666</v>
      </c>
      <c r="AJ261" s="8">
        <f t="shared" si="70"/>
        <v>37.267799624996499</v>
      </c>
      <c r="AK261" s="8">
        <f t="shared" si="70"/>
        <v>16.666666666666668</v>
      </c>
      <c r="AL261" s="8">
        <f t="shared" si="70"/>
        <v>8333.3333333333339</v>
      </c>
      <c r="AM261" s="8">
        <f t="shared" si="70"/>
        <v>33.333333333333336</v>
      </c>
      <c r="AN261" s="8">
        <f t="shared" si="70"/>
        <v>50</v>
      </c>
    </row>
    <row r="262" spans="4:72" x14ac:dyDescent="0.25">
      <c r="J262" s="8">
        <f t="shared" si="70"/>
        <v>300.46260628866577</v>
      </c>
      <c r="K262" s="8">
        <f t="shared" si="70"/>
        <v>387.6567783204336</v>
      </c>
      <c r="L262" s="8">
        <f t="shared" si="70"/>
        <v>372.67799624996496</v>
      </c>
      <c r="M262" s="8">
        <f t="shared" si="70"/>
        <v>343.18767136623336</v>
      </c>
      <c r="N262" s="8">
        <f t="shared" si="70"/>
        <v>328.71804872193371</v>
      </c>
      <c r="O262" s="8">
        <f t="shared" si="70"/>
        <v>300.46260628866577</v>
      </c>
      <c r="P262" s="8">
        <f t="shared" si="70"/>
        <v>186.33899812498248</v>
      </c>
      <c r="Q262" s="8">
        <f t="shared" si="70"/>
        <v>174.00510848184248</v>
      </c>
      <c r="R262" s="8">
        <f t="shared" si="70"/>
        <v>169.96731711975949</v>
      </c>
      <c r="S262" s="8">
        <f t="shared" si="70"/>
        <v>166.66666666666669</v>
      </c>
      <c r="T262" s="8">
        <f t="shared" si="70"/>
        <v>167.49792701868154</v>
      </c>
      <c r="U262" s="8">
        <f t="shared" si="70"/>
        <v>359.78388574871502</v>
      </c>
      <c r="V262" s="8">
        <f t="shared" si="70"/>
        <v>343.59213546813839</v>
      </c>
      <c r="W262" s="8">
        <f t="shared" si="70"/>
        <v>311.35902820449007</v>
      </c>
      <c r="X262" s="8">
        <f t="shared" si="70"/>
        <v>295.33408577782251</v>
      </c>
      <c r="Y262" s="8">
        <f t="shared" si="70"/>
        <v>263.52313834736492</v>
      </c>
      <c r="Z262" s="8">
        <f t="shared" si="70"/>
        <v>117.85113019775793</v>
      </c>
      <c r="AA262" s="8">
        <f t="shared" si="70"/>
        <v>97.182531580755025</v>
      </c>
      <c r="AB262" s="8">
        <f t="shared" si="70"/>
        <v>89.752746785575056</v>
      </c>
      <c r="AC262" s="8">
        <f t="shared" si="70"/>
        <v>83.333333333333343</v>
      </c>
      <c r="AD262" s="8">
        <f t="shared" si="70"/>
        <v>84.983658559879743</v>
      </c>
      <c r="AE262" s="8">
        <f t="shared" si="70"/>
        <v>350</v>
      </c>
      <c r="AF262" s="8">
        <f t="shared" si="70"/>
        <v>333.33333333333337</v>
      </c>
      <c r="AG262" s="8">
        <f t="shared" si="70"/>
        <v>300</v>
      </c>
      <c r="AH262" s="8">
        <f t="shared" si="70"/>
        <v>283.33333333333331</v>
      </c>
      <c r="AI262" s="8">
        <f t="shared" si="70"/>
        <v>250.00000000000003</v>
      </c>
      <c r="AJ262" s="8">
        <f t="shared" si="70"/>
        <v>16.666666666666668</v>
      </c>
      <c r="AK262" s="8">
        <f t="shared" si="70"/>
        <v>50</v>
      </c>
      <c r="AL262" s="8">
        <f t="shared" si="70"/>
        <v>33.333333333333336</v>
      </c>
      <c r="AM262" s="8">
        <f t="shared" si="70"/>
        <v>8333.3333333333339</v>
      </c>
      <c r="AN262" s="8">
        <f t="shared" si="70"/>
        <v>16.666666666666668</v>
      </c>
    </row>
    <row r="263" spans="4:72" x14ac:dyDescent="0.25">
      <c r="J263" s="8">
        <f t="shared" si="70"/>
        <v>310.0179206289713</v>
      </c>
      <c r="K263" s="8">
        <f t="shared" si="70"/>
        <v>402.76819911981914</v>
      </c>
      <c r="L263" s="8">
        <f t="shared" si="70"/>
        <v>387.6567783204336</v>
      </c>
      <c r="M263" s="8">
        <f t="shared" si="70"/>
        <v>357.84850922639816</v>
      </c>
      <c r="N263" s="8">
        <f t="shared" si="70"/>
        <v>343.18767136623336</v>
      </c>
      <c r="O263" s="8">
        <f t="shared" si="70"/>
        <v>314.46603773522008</v>
      </c>
      <c r="P263" s="8">
        <f t="shared" si="70"/>
        <v>194.36506316151005</v>
      </c>
      <c r="Q263" s="8">
        <f t="shared" si="70"/>
        <v>179.50549357115011</v>
      </c>
      <c r="R263" s="8">
        <f t="shared" si="70"/>
        <v>174.00510848184248</v>
      </c>
      <c r="S263" s="8">
        <f t="shared" si="70"/>
        <v>167.49792701868154</v>
      </c>
      <c r="T263" s="8">
        <f t="shared" si="70"/>
        <v>166.66666666666669</v>
      </c>
      <c r="U263" s="8">
        <f t="shared" si="70"/>
        <v>376.01713908928264</v>
      </c>
      <c r="V263" s="8">
        <f t="shared" si="70"/>
        <v>359.78388574871502</v>
      </c>
      <c r="W263" s="8">
        <f t="shared" si="70"/>
        <v>327.44804507314166</v>
      </c>
      <c r="X263" s="8">
        <f t="shared" si="70"/>
        <v>311.35902820449007</v>
      </c>
      <c r="Y263" s="8">
        <f t="shared" si="70"/>
        <v>279.38424357067021</v>
      </c>
      <c r="Z263" s="8">
        <f t="shared" si="70"/>
        <v>130.17082793177758</v>
      </c>
      <c r="AA263" s="8">
        <f t="shared" si="70"/>
        <v>106.71873729054749</v>
      </c>
      <c r="AB263" s="8">
        <f t="shared" si="70"/>
        <v>97.182531580755025</v>
      </c>
      <c r="AC263" s="8">
        <f t="shared" si="70"/>
        <v>84.983658559879743</v>
      </c>
      <c r="AD263" s="8">
        <f t="shared" si="70"/>
        <v>83.333333333333343</v>
      </c>
      <c r="AE263" s="8">
        <f t="shared" si="70"/>
        <v>366.66666666666669</v>
      </c>
      <c r="AF263" s="8">
        <f t="shared" si="70"/>
        <v>350</v>
      </c>
      <c r="AG263" s="8">
        <f t="shared" si="70"/>
        <v>316.66666666666669</v>
      </c>
      <c r="AH263" s="8">
        <f t="shared" si="70"/>
        <v>300</v>
      </c>
      <c r="AI263" s="8">
        <f t="shared" si="70"/>
        <v>266.66666666666669</v>
      </c>
      <c r="AJ263" s="8">
        <f t="shared" si="70"/>
        <v>23.570226039551585</v>
      </c>
      <c r="AK263" s="8">
        <f t="shared" si="70"/>
        <v>66.666666666666671</v>
      </c>
      <c r="AL263" s="8">
        <f t="shared" si="70"/>
        <v>50</v>
      </c>
      <c r="AM263" s="8">
        <f t="shared" si="70"/>
        <v>16.666666666666668</v>
      </c>
      <c r="AN263" s="8">
        <f t="shared" si="70"/>
        <v>8333.3333333333339</v>
      </c>
    </row>
    <row r="268" spans="4:72" ht="15" customHeight="1" x14ac:dyDescent="0.25">
      <c r="R268" s="116" t="s">
        <v>82</v>
      </c>
      <c r="S268" s="116"/>
      <c r="T268" s="116"/>
      <c r="U268" s="116"/>
      <c r="V268" s="116"/>
      <c r="W268" s="116"/>
    </row>
    <row r="269" spans="4:72" ht="15" customHeight="1" x14ac:dyDescent="0.25">
      <c r="R269" s="116"/>
      <c r="S269" s="116"/>
      <c r="T269" s="116"/>
      <c r="U269" s="116"/>
      <c r="V269" s="116"/>
      <c r="W269" s="116"/>
    </row>
    <row r="270" spans="4:72" ht="21" customHeight="1" x14ac:dyDescent="0.25">
      <c r="R270" s="117"/>
      <c r="S270" s="117"/>
      <c r="T270" s="117"/>
      <c r="U270" s="117"/>
      <c r="V270" s="117"/>
      <c r="W270" s="117"/>
    </row>
    <row r="271" spans="4:72" x14ac:dyDescent="0.25">
      <c r="J271" s="118">
        <v>10000</v>
      </c>
      <c r="K271" s="118">
        <f>K233/231</f>
        <v>0.87179263878748736</v>
      </c>
      <c r="L271" s="118">
        <f t="shared" ref="L271:AN271" si="71">L233/231</f>
        <v>0.80666232954537875</v>
      </c>
      <c r="M271" s="118">
        <f t="shared" si="71"/>
        <v>0.68066241934030325</v>
      </c>
      <c r="N271" s="118">
        <f t="shared" si="71"/>
        <v>0.62065838867551415</v>
      </c>
      <c r="O271" s="118">
        <f t="shared" si="71"/>
        <v>0.51017805280414685</v>
      </c>
      <c r="P271" s="118">
        <f t="shared" si="71"/>
        <v>0.51017805280414685</v>
      </c>
      <c r="Q271" s="118">
        <f t="shared" si="71"/>
        <v>0.62065838867551415</v>
      </c>
      <c r="R271" s="118">
        <f t="shared" si="71"/>
        <v>0.68066241934030325</v>
      </c>
      <c r="S271" s="118">
        <f t="shared" si="71"/>
        <v>0.80666232954537875</v>
      </c>
      <c r="T271" s="118">
        <f t="shared" si="71"/>
        <v>0.87179263878748736</v>
      </c>
      <c r="U271" s="118">
        <f t="shared" si="71"/>
        <v>1.072587932706963</v>
      </c>
      <c r="V271" s="118">
        <f t="shared" si="71"/>
        <v>1.0203561056082937</v>
      </c>
      <c r="W271" s="118">
        <f t="shared" si="71"/>
        <v>0.92397175143331167</v>
      </c>
      <c r="X271" s="118">
        <f t="shared" si="71"/>
        <v>0.88070386837905512</v>
      </c>
      <c r="Y271" s="118">
        <f t="shared" si="71"/>
        <v>0.80666232954537875</v>
      </c>
      <c r="Z271" s="118">
        <f t="shared" si="71"/>
        <v>0.80666232954537875</v>
      </c>
      <c r="AA271" s="118">
        <f t="shared" si="71"/>
        <v>0.88070386837905512</v>
      </c>
      <c r="AB271" s="118">
        <f t="shared" si="71"/>
        <v>0.92397175143331167</v>
      </c>
      <c r="AC271" s="118">
        <f t="shared" si="71"/>
        <v>1.0203561056082937</v>
      </c>
      <c r="AD271" s="118">
        <f t="shared" si="71"/>
        <v>1.072587932706963</v>
      </c>
      <c r="AE271" s="118">
        <f t="shared" si="71"/>
        <v>1.3420689204717373</v>
      </c>
      <c r="AF271" s="118">
        <f t="shared" si="71"/>
        <v>1.3007039233275575</v>
      </c>
      <c r="AG271" s="118">
        <f t="shared" si="71"/>
        <v>1.2265512265512264</v>
      </c>
      <c r="AH271" s="118">
        <f t="shared" si="71"/>
        <v>1.1942962018215622</v>
      </c>
      <c r="AI271" s="118">
        <f t="shared" si="71"/>
        <v>1.1407928066985495</v>
      </c>
      <c r="AJ271" s="118">
        <f t="shared" si="71"/>
        <v>1.3613248386806065</v>
      </c>
      <c r="AK271" s="118">
        <f t="shared" si="71"/>
        <v>1.1942962018215622</v>
      </c>
      <c r="AL271" s="118">
        <f t="shared" si="71"/>
        <v>1.2265512265512264</v>
      </c>
      <c r="AM271" s="118">
        <f t="shared" si="71"/>
        <v>1.3007039233275575</v>
      </c>
      <c r="AN271" s="118">
        <f t="shared" si="71"/>
        <v>1.3420689204717373</v>
      </c>
    </row>
    <row r="272" spans="4:72" x14ac:dyDescent="0.25">
      <c r="J272" s="118">
        <f t="array" ref="J272:J301">TRANSPOSE(K271:AN271)</f>
        <v>0.87179263878748736</v>
      </c>
      <c r="K272" s="8">
        <v>10000</v>
      </c>
      <c r="L272" s="8">
        <v>20</v>
      </c>
      <c r="M272" s="8">
        <v>60</v>
      </c>
      <c r="N272" s="8">
        <v>80</v>
      </c>
      <c r="O272" s="8">
        <v>120</v>
      </c>
      <c r="P272" s="8">
        <v>320</v>
      </c>
      <c r="Q272" s="8">
        <v>360</v>
      </c>
      <c r="R272" s="8">
        <v>380</v>
      </c>
      <c r="S272" s="8">
        <v>420</v>
      </c>
      <c r="T272" s="8">
        <v>440</v>
      </c>
      <c r="U272" s="8">
        <v>100</v>
      </c>
      <c r="V272" s="8">
        <v>101.98039027185568</v>
      </c>
      <c r="W272" s="8">
        <v>116.61903789690602</v>
      </c>
      <c r="X272" s="8">
        <v>128.06248474865697</v>
      </c>
      <c r="Y272" s="8">
        <v>156.20499351813308</v>
      </c>
      <c r="Z272" s="8">
        <v>335.26109228480425</v>
      </c>
      <c r="AA272" s="8">
        <v>373.63083384538811</v>
      </c>
      <c r="AB272" s="8">
        <v>392.93765408777</v>
      </c>
      <c r="AC272" s="8">
        <v>431.74066289845808</v>
      </c>
      <c r="AD272" s="8">
        <v>451.22056690713907</v>
      </c>
      <c r="AE272" s="8">
        <v>200</v>
      </c>
      <c r="AF272" s="8">
        <v>200.9975124224178</v>
      </c>
      <c r="AG272" s="8">
        <v>208.80613017821102</v>
      </c>
      <c r="AH272" s="8">
        <v>215.40659228538016</v>
      </c>
      <c r="AI272" s="8">
        <v>233.23807579381204</v>
      </c>
      <c r="AJ272" s="8">
        <v>465.18813398452033</v>
      </c>
      <c r="AK272" s="8">
        <v>411.82520563948003</v>
      </c>
      <c r="AL272" s="8">
        <v>429.41821107167777</v>
      </c>
      <c r="AM272" s="8">
        <v>465.18813398452033</v>
      </c>
      <c r="AN272" s="70">
        <v>483.32183894378284</v>
      </c>
    </row>
    <row r="273" spans="10:40" x14ac:dyDescent="0.25">
      <c r="J273" s="118">
        <v>0.80666232954537875</v>
      </c>
      <c r="K273" s="8">
        <v>20</v>
      </c>
      <c r="L273" s="8">
        <v>10000</v>
      </c>
      <c r="M273" s="8">
        <v>40</v>
      </c>
      <c r="N273" s="8">
        <v>60</v>
      </c>
      <c r="O273" s="8">
        <v>100</v>
      </c>
      <c r="P273" s="8">
        <v>300</v>
      </c>
      <c r="Q273" s="8">
        <v>340</v>
      </c>
      <c r="R273" s="8">
        <v>360</v>
      </c>
      <c r="S273" s="8">
        <v>400</v>
      </c>
      <c r="T273" s="8">
        <v>420</v>
      </c>
      <c r="U273" s="8">
        <v>101.98039027185568</v>
      </c>
      <c r="V273" s="8">
        <v>100</v>
      </c>
      <c r="W273" s="8">
        <v>107.70329614269008</v>
      </c>
      <c r="X273" s="8">
        <v>116.61903789690602</v>
      </c>
      <c r="Y273" s="8">
        <v>141.42135623730951</v>
      </c>
      <c r="Z273" s="8">
        <v>316.2277660168379</v>
      </c>
      <c r="AA273" s="8">
        <v>354.40090293338699</v>
      </c>
      <c r="AB273" s="8">
        <v>373.63083384538811</v>
      </c>
      <c r="AC273" s="8">
        <v>412.31056256176606</v>
      </c>
      <c r="AD273" s="8">
        <v>431.74066289845808</v>
      </c>
      <c r="AE273" s="8">
        <v>200.9975124224178</v>
      </c>
      <c r="AF273" s="8">
        <v>200</v>
      </c>
      <c r="AG273" s="8">
        <v>203.96078054371137</v>
      </c>
      <c r="AH273" s="8">
        <v>208.80613017821102</v>
      </c>
      <c r="AI273" s="8">
        <v>223.60679774997899</v>
      </c>
      <c r="AJ273" s="8">
        <v>447.21359549995799</v>
      </c>
      <c r="AK273" s="8">
        <v>394.46165846632039</v>
      </c>
      <c r="AL273" s="8">
        <v>411.82520563948003</v>
      </c>
      <c r="AM273" s="8">
        <v>447.21359549995799</v>
      </c>
      <c r="AN273" s="70">
        <v>465.18813398452033</v>
      </c>
    </row>
    <row r="274" spans="10:40" x14ac:dyDescent="0.25">
      <c r="J274" s="118">
        <v>0.68066241934030325</v>
      </c>
      <c r="K274" s="8">
        <v>60</v>
      </c>
      <c r="L274" s="8">
        <v>40</v>
      </c>
      <c r="M274" s="8">
        <v>10000</v>
      </c>
      <c r="N274" s="8">
        <v>20</v>
      </c>
      <c r="O274" s="8">
        <v>60</v>
      </c>
      <c r="P274" s="8">
        <v>260</v>
      </c>
      <c r="Q274" s="8">
        <v>300</v>
      </c>
      <c r="R274" s="8">
        <v>320</v>
      </c>
      <c r="S274" s="8">
        <v>360</v>
      </c>
      <c r="T274" s="8">
        <v>380</v>
      </c>
      <c r="U274" s="8">
        <v>116.61903789690602</v>
      </c>
      <c r="V274" s="8">
        <v>107.70329614269008</v>
      </c>
      <c r="W274" s="8">
        <v>100</v>
      </c>
      <c r="X274" s="8">
        <v>101.98039027185568</v>
      </c>
      <c r="Y274" s="8">
        <v>116.61903789690602</v>
      </c>
      <c r="Z274" s="8">
        <v>278.56776554368241</v>
      </c>
      <c r="AA274" s="8">
        <v>316.2277660168379</v>
      </c>
      <c r="AB274" s="8">
        <v>335.26109228480425</v>
      </c>
      <c r="AC274" s="8">
        <v>373.63083384538811</v>
      </c>
      <c r="AD274" s="8">
        <v>392.93765408777</v>
      </c>
      <c r="AE274" s="8">
        <v>208.80613017821102</v>
      </c>
      <c r="AF274" s="8">
        <v>203.96078054371137</v>
      </c>
      <c r="AG274" s="8">
        <v>200</v>
      </c>
      <c r="AH274" s="8">
        <v>200.9975124224178</v>
      </c>
      <c r="AI274" s="8">
        <v>208.80613017821102</v>
      </c>
      <c r="AJ274" s="8">
        <v>411.82520563948003</v>
      </c>
      <c r="AK274" s="8">
        <v>360.55512754639892</v>
      </c>
      <c r="AL274" s="8">
        <v>377.35924528226411</v>
      </c>
      <c r="AM274" s="8">
        <v>411.82520563948003</v>
      </c>
      <c r="AN274" s="70">
        <v>429.41821107167777</v>
      </c>
    </row>
    <row r="275" spans="10:40" x14ac:dyDescent="0.25">
      <c r="J275" s="118">
        <v>0.62065838867551415</v>
      </c>
      <c r="K275" s="8">
        <v>80</v>
      </c>
      <c r="L275" s="8">
        <v>60</v>
      </c>
      <c r="M275" s="8">
        <v>20</v>
      </c>
      <c r="N275" s="8">
        <v>10000</v>
      </c>
      <c r="O275" s="8">
        <v>40</v>
      </c>
      <c r="P275" s="8">
        <v>240</v>
      </c>
      <c r="Q275" s="8">
        <v>280</v>
      </c>
      <c r="R275" s="8">
        <v>300</v>
      </c>
      <c r="S275" s="8">
        <v>340</v>
      </c>
      <c r="T275" s="8">
        <v>360</v>
      </c>
      <c r="U275" s="8">
        <v>128.06248474865697</v>
      </c>
      <c r="V275" s="8">
        <v>116.61903789690602</v>
      </c>
      <c r="W275" s="8">
        <v>101.98039027185568</v>
      </c>
      <c r="X275" s="8">
        <v>100</v>
      </c>
      <c r="Y275" s="8">
        <v>107.70329614269008</v>
      </c>
      <c r="Z275" s="8">
        <v>260</v>
      </c>
      <c r="AA275" s="8">
        <v>297.3213749463701</v>
      </c>
      <c r="AB275" s="8">
        <v>316.2277660168379</v>
      </c>
      <c r="AC275" s="8">
        <v>354.40090293338699</v>
      </c>
      <c r="AD275" s="8">
        <v>373.63083384538811</v>
      </c>
      <c r="AE275" s="8">
        <v>215.40659228538016</v>
      </c>
      <c r="AF275" s="8">
        <v>208.80613017821102</v>
      </c>
      <c r="AG275" s="8">
        <v>200.9975124224178</v>
      </c>
      <c r="AH275" s="8">
        <v>200</v>
      </c>
      <c r="AI275" s="8">
        <v>203.96078054371137</v>
      </c>
      <c r="AJ275" s="8">
        <v>394.46165846632039</v>
      </c>
      <c r="AK275" s="8">
        <v>344.0930106817051</v>
      </c>
      <c r="AL275" s="8">
        <v>360.55512754639892</v>
      </c>
      <c r="AM275" s="8">
        <v>394.46165846632039</v>
      </c>
      <c r="AN275" s="70">
        <v>411.82520563948003</v>
      </c>
    </row>
    <row r="276" spans="10:40" x14ac:dyDescent="0.25">
      <c r="J276" s="118">
        <v>0.51017805280414685</v>
      </c>
      <c r="K276" s="8">
        <v>120</v>
      </c>
      <c r="L276" s="8">
        <v>100</v>
      </c>
      <c r="M276" s="8">
        <v>60</v>
      </c>
      <c r="N276" s="8">
        <v>40</v>
      </c>
      <c r="O276" s="8">
        <v>10000</v>
      </c>
      <c r="P276" s="8">
        <v>200</v>
      </c>
      <c r="Q276" s="8">
        <v>240</v>
      </c>
      <c r="R276" s="8">
        <v>260</v>
      </c>
      <c r="S276" s="8">
        <v>300</v>
      </c>
      <c r="T276" s="8">
        <v>320</v>
      </c>
      <c r="U276" s="8">
        <v>156.20499351813308</v>
      </c>
      <c r="V276" s="8">
        <v>141.42135623730951</v>
      </c>
      <c r="W276" s="8">
        <v>116.61903789690602</v>
      </c>
      <c r="X276" s="8">
        <v>107.70329614269008</v>
      </c>
      <c r="Y276" s="8">
        <v>100</v>
      </c>
      <c r="Z276" s="8">
        <v>223.60679774997899</v>
      </c>
      <c r="AA276" s="8">
        <v>260</v>
      </c>
      <c r="AB276" s="8">
        <v>278.56776554368241</v>
      </c>
      <c r="AC276" s="8">
        <v>316.2277660168379</v>
      </c>
      <c r="AD276" s="8">
        <v>335.26109228480425</v>
      </c>
      <c r="AE276" s="8">
        <v>233.23807579381204</v>
      </c>
      <c r="AF276" s="8">
        <v>223.60679774997899</v>
      </c>
      <c r="AG276" s="8">
        <v>208.80613017821102</v>
      </c>
      <c r="AH276" s="8">
        <v>203.96078054371137</v>
      </c>
      <c r="AI276" s="8">
        <v>200</v>
      </c>
      <c r="AJ276" s="8">
        <v>360.55512754639892</v>
      </c>
      <c r="AK276" s="8">
        <v>312.40998703626616</v>
      </c>
      <c r="AL276" s="8">
        <v>328.02438933713455</v>
      </c>
      <c r="AM276" s="8">
        <v>360.55512754639892</v>
      </c>
      <c r="AN276" s="70">
        <v>377.35924528226411</v>
      </c>
    </row>
    <row r="277" spans="10:40" x14ac:dyDescent="0.25">
      <c r="J277" s="118">
        <v>0.51017805280414685</v>
      </c>
      <c r="K277" s="8">
        <v>320</v>
      </c>
      <c r="L277" s="8">
        <v>300</v>
      </c>
      <c r="M277" s="8">
        <v>260</v>
      </c>
      <c r="N277" s="8">
        <v>240</v>
      </c>
      <c r="O277" s="8">
        <v>200</v>
      </c>
      <c r="P277" s="8">
        <v>10000</v>
      </c>
      <c r="Q277" s="8">
        <v>40</v>
      </c>
      <c r="R277" s="8">
        <v>60</v>
      </c>
      <c r="S277" s="8">
        <v>100</v>
      </c>
      <c r="T277" s="8">
        <v>120</v>
      </c>
      <c r="U277" s="8">
        <v>335.26109228480425</v>
      </c>
      <c r="V277" s="8">
        <v>316.2277660168379</v>
      </c>
      <c r="W277" s="8">
        <v>278.56776554368241</v>
      </c>
      <c r="X277" s="8">
        <v>260</v>
      </c>
      <c r="Y277" s="8">
        <v>223.60679774997899</v>
      </c>
      <c r="Z277" s="8">
        <v>100</v>
      </c>
      <c r="AA277" s="8">
        <v>107.70329614269008</v>
      </c>
      <c r="AB277" s="8">
        <v>116.61903789690602</v>
      </c>
      <c r="AC277" s="8">
        <v>141.42135623730951</v>
      </c>
      <c r="AD277" s="8">
        <v>156.20499351813308</v>
      </c>
      <c r="AE277" s="8">
        <v>377.35924528226411</v>
      </c>
      <c r="AF277" s="8">
        <v>360.55512754639892</v>
      </c>
      <c r="AG277" s="8">
        <v>328.02438933713455</v>
      </c>
      <c r="AH277" s="8">
        <v>312.40998703626616</v>
      </c>
      <c r="AI277" s="8">
        <v>282.84271247461902</v>
      </c>
      <c r="AJ277" s="8">
        <v>223.60679774997899</v>
      </c>
      <c r="AK277" s="8">
        <v>203.96078054371137</v>
      </c>
      <c r="AL277" s="8">
        <v>208.80613017821102</v>
      </c>
      <c r="AM277" s="8">
        <v>223.60679774997899</v>
      </c>
      <c r="AN277" s="70">
        <v>233.23807579381204</v>
      </c>
    </row>
    <row r="278" spans="10:40" x14ac:dyDescent="0.25">
      <c r="J278" s="118">
        <v>0.62065838867551415</v>
      </c>
      <c r="K278" s="8">
        <v>360</v>
      </c>
      <c r="L278" s="8">
        <v>340</v>
      </c>
      <c r="M278" s="8">
        <v>300</v>
      </c>
      <c r="N278" s="8">
        <v>280</v>
      </c>
      <c r="O278" s="8">
        <v>240</v>
      </c>
      <c r="P278" s="8">
        <v>40</v>
      </c>
      <c r="Q278" s="8">
        <v>10000</v>
      </c>
      <c r="R278" s="8">
        <v>20</v>
      </c>
      <c r="S278" s="8">
        <v>60</v>
      </c>
      <c r="T278" s="8">
        <v>80</v>
      </c>
      <c r="U278" s="8">
        <v>373.63083384538811</v>
      </c>
      <c r="V278" s="8">
        <v>354.40090293338699</v>
      </c>
      <c r="W278" s="8">
        <v>316.2277660168379</v>
      </c>
      <c r="X278" s="8">
        <v>297.3213749463701</v>
      </c>
      <c r="Y278" s="8">
        <v>260</v>
      </c>
      <c r="Z278" s="8">
        <v>107.70329614269008</v>
      </c>
      <c r="AA278" s="8">
        <v>100</v>
      </c>
      <c r="AB278" s="8">
        <v>101.98039027185568</v>
      </c>
      <c r="AC278" s="8">
        <v>116.61903789690602</v>
      </c>
      <c r="AD278" s="8">
        <v>128.06248474865697</v>
      </c>
      <c r="AE278" s="8">
        <v>411.82520563948003</v>
      </c>
      <c r="AF278" s="8">
        <v>394.46165846632039</v>
      </c>
      <c r="AG278" s="8">
        <v>360.55512754639892</v>
      </c>
      <c r="AH278" s="8">
        <v>344.0930106817051</v>
      </c>
      <c r="AI278" s="8">
        <v>312.40998703626616</v>
      </c>
      <c r="AJ278" s="8">
        <v>208.80613017821102</v>
      </c>
      <c r="AK278" s="8">
        <v>200</v>
      </c>
      <c r="AL278" s="8">
        <v>200.9975124224178</v>
      </c>
      <c r="AM278" s="8">
        <v>208.80613017821102</v>
      </c>
      <c r="AN278" s="70">
        <v>215.40659228538016</v>
      </c>
    </row>
    <row r="279" spans="10:40" x14ac:dyDescent="0.25">
      <c r="J279" s="118">
        <v>0.68066241934030325</v>
      </c>
      <c r="K279" s="8">
        <v>380</v>
      </c>
      <c r="L279" s="8">
        <v>360</v>
      </c>
      <c r="M279" s="8">
        <v>320</v>
      </c>
      <c r="N279" s="8">
        <v>300</v>
      </c>
      <c r="O279" s="8">
        <v>260</v>
      </c>
      <c r="P279" s="8">
        <v>60</v>
      </c>
      <c r="Q279" s="8">
        <v>20</v>
      </c>
      <c r="R279" s="8">
        <v>10000</v>
      </c>
      <c r="S279" s="8">
        <v>40</v>
      </c>
      <c r="T279" s="8">
        <v>60</v>
      </c>
      <c r="U279" s="8">
        <v>392.93765408777</v>
      </c>
      <c r="V279" s="8">
        <v>373.63083384538811</v>
      </c>
      <c r="W279" s="8">
        <v>335.26109228480425</v>
      </c>
      <c r="X279" s="8">
        <v>316.2277660168379</v>
      </c>
      <c r="Y279" s="8">
        <v>278.56776554368241</v>
      </c>
      <c r="Z279" s="8">
        <v>116.61903789690602</v>
      </c>
      <c r="AA279" s="8">
        <v>101.98039027185568</v>
      </c>
      <c r="AB279" s="8">
        <v>100</v>
      </c>
      <c r="AC279" s="8">
        <v>107.70329614269008</v>
      </c>
      <c r="AD279" s="8">
        <v>116.61903789690602</v>
      </c>
      <c r="AE279" s="8">
        <v>429.41821107167777</v>
      </c>
      <c r="AF279" s="8">
        <v>411.82520563948003</v>
      </c>
      <c r="AG279" s="8">
        <v>377.35924528226411</v>
      </c>
      <c r="AH279" s="8">
        <v>360.55512754639892</v>
      </c>
      <c r="AI279" s="8">
        <v>328.02438933713455</v>
      </c>
      <c r="AJ279" s="8">
        <v>203.96078054371137</v>
      </c>
      <c r="AK279" s="8">
        <v>200.9975124224178</v>
      </c>
      <c r="AL279" s="8">
        <v>200</v>
      </c>
      <c r="AM279" s="8">
        <v>203.96078054371137</v>
      </c>
      <c r="AN279" s="70">
        <v>208.80613017821102</v>
      </c>
    </row>
    <row r="280" spans="10:40" x14ac:dyDescent="0.25">
      <c r="J280" s="118">
        <v>0.80666232954537875</v>
      </c>
      <c r="K280" s="8">
        <v>420</v>
      </c>
      <c r="L280" s="8">
        <v>400</v>
      </c>
      <c r="M280" s="8">
        <v>360</v>
      </c>
      <c r="N280" s="8">
        <v>340</v>
      </c>
      <c r="O280" s="8">
        <v>300</v>
      </c>
      <c r="P280" s="8">
        <v>100</v>
      </c>
      <c r="Q280" s="8">
        <v>60</v>
      </c>
      <c r="R280" s="8">
        <v>40</v>
      </c>
      <c r="S280" s="8">
        <v>10000</v>
      </c>
      <c r="T280" s="8">
        <v>20</v>
      </c>
      <c r="U280" s="8">
        <v>431.74066289845808</v>
      </c>
      <c r="V280" s="8">
        <v>412.31056256176606</v>
      </c>
      <c r="W280" s="8">
        <v>373.63083384538811</v>
      </c>
      <c r="X280" s="8">
        <v>354.40090293338699</v>
      </c>
      <c r="Y280" s="8">
        <v>316.2277660168379</v>
      </c>
      <c r="Z280" s="8">
        <v>141.42135623730951</v>
      </c>
      <c r="AA280" s="8">
        <v>116.61903789690602</v>
      </c>
      <c r="AB280" s="8">
        <v>107.70329614269008</v>
      </c>
      <c r="AC280" s="8">
        <v>100</v>
      </c>
      <c r="AD280" s="8">
        <v>101.98039027185568</v>
      </c>
      <c r="AE280" s="8">
        <v>465.18813398452033</v>
      </c>
      <c r="AF280" s="8">
        <v>447.21359549995799</v>
      </c>
      <c r="AG280" s="8">
        <v>411.82520563948003</v>
      </c>
      <c r="AH280" s="8">
        <v>394.46165846632039</v>
      </c>
      <c r="AI280" s="8">
        <v>360.55512754639892</v>
      </c>
      <c r="AJ280" s="8">
        <v>200</v>
      </c>
      <c r="AK280" s="8">
        <v>208.80613017821102</v>
      </c>
      <c r="AL280" s="8">
        <v>203.96078054371137</v>
      </c>
      <c r="AM280" s="8">
        <v>200</v>
      </c>
      <c r="AN280" s="70">
        <v>200.9975124224178</v>
      </c>
    </row>
    <row r="281" spans="10:40" x14ac:dyDescent="0.25">
      <c r="J281" s="118">
        <v>0.87179263878748736</v>
      </c>
      <c r="K281" s="8">
        <v>440</v>
      </c>
      <c r="L281" s="8">
        <v>420</v>
      </c>
      <c r="M281" s="8">
        <v>380</v>
      </c>
      <c r="N281" s="8">
        <v>360</v>
      </c>
      <c r="O281" s="8">
        <v>320</v>
      </c>
      <c r="P281" s="8">
        <v>120</v>
      </c>
      <c r="Q281" s="8">
        <v>80</v>
      </c>
      <c r="R281" s="8">
        <v>60</v>
      </c>
      <c r="S281" s="8">
        <v>20</v>
      </c>
      <c r="T281" s="8">
        <v>10000</v>
      </c>
      <c r="U281" s="8">
        <v>451.22056690713907</v>
      </c>
      <c r="V281" s="8">
        <v>431.74066289845808</v>
      </c>
      <c r="W281" s="8">
        <v>392.93765408777</v>
      </c>
      <c r="X281" s="8">
        <v>373.63083384538811</v>
      </c>
      <c r="Y281" s="8">
        <v>335.26109228480425</v>
      </c>
      <c r="Z281" s="8">
        <v>156.20499351813308</v>
      </c>
      <c r="AA281" s="8">
        <v>128.06248474865697</v>
      </c>
      <c r="AB281" s="8">
        <v>116.61903789690602</v>
      </c>
      <c r="AC281" s="8">
        <v>101.98039027185568</v>
      </c>
      <c r="AD281" s="8">
        <v>100</v>
      </c>
      <c r="AE281" s="8">
        <v>483.32183894378284</v>
      </c>
      <c r="AF281" s="8">
        <v>465.18813398452033</v>
      </c>
      <c r="AG281" s="8">
        <v>429.41821107167777</v>
      </c>
      <c r="AH281" s="8">
        <v>411.82520563948003</v>
      </c>
      <c r="AI281" s="8">
        <v>377.35924528226411</v>
      </c>
      <c r="AJ281" s="8">
        <v>200.9975124224178</v>
      </c>
      <c r="AK281" s="8">
        <v>215.40659228538016</v>
      </c>
      <c r="AL281" s="8">
        <v>208.80613017821102</v>
      </c>
      <c r="AM281" s="8">
        <v>200.9975124224178</v>
      </c>
      <c r="AN281" s="70">
        <v>200</v>
      </c>
    </row>
    <row r="282" spans="10:40" x14ac:dyDescent="0.25">
      <c r="J282" s="118">
        <v>1.072587932706963</v>
      </c>
      <c r="K282" s="8">
        <v>100</v>
      </c>
      <c r="L282" s="8">
        <v>101.98039027185568</v>
      </c>
      <c r="M282" s="8">
        <v>116.61903789690602</v>
      </c>
      <c r="N282" s="8">
        <v>128.06248474865697</v>
      </c>
      <c r="O282" s="8">
        <v>156.20499351813308</v>
      </c>
      <c r="P282" s="8">
        <v>335.26109228480425</v>
      </c>
      <c r="Q282" s="8">
        <v>373.63083384538811</v>
      </c>
      <c r="R282" s="8">
        <v>392.93765408777</v>
      </c>
      <c r="S282" s="8">
        <v>431.74066289845808</v>
      </c>
      <c r="T282" s="8">
        <v>451.22056690713907</v>
      </c>
      <c r="U282" s="8">
        <v>10000</v>
      </c>
      <c r="V282" s="8">
        <v>20</v>
      </c>
      <c r="W282" s="8">
        <v>60</v>
      </c>
      <c r="X282" s="8">
        <v>80</v>
      </c>
      <c r="Y282" s="8">
        <v>120</v>
      </c>
      <c r="Z282" s="8">
        <v>320</v>
      </c>
      <c r="AA282" s="8">
        <v>360</v>
      </c>
      <c r="AB282" s="8">
        <v>380</v>
      </c>
      <c r="AC282" s="8">
        <v>420</v>
      </c>
      <c r="AD282" s="8">
        <v>440</v>
      </c>
      <c r="AE282" s="8">
        <v>100</v>
      </c>
      <c r="AF282" s="8">
        <v>101.98039027185568</v>
      </c>
      <c r="AG282" s="8">
        <v>116.61903789690602</v>
      </c>
      <c r="AH282" s="8">
        <v>128.06248474865697</v>
      </c>
      <c r="AI282" s="8">
        <v>156.20499351813308</v>
      </c>
      <c r="AJ282" s="8">
        <v>431.74066289845808</v>
      </c>
      <c r="AK282" s="8">
        <v>373.63083384538811</v>
      </c>
      <c r="AL282" s="8">
        <v>392.93765408777</v>
      </c>
      <c r="AM282" s="8">
        <v>431.74066289845808</v>
      </c>
      <c r="AN282" s="70">
        <v>451.22056690713907</v>
      </c>
    </row>
    <row r="283" spans="10:40" x14ac:dyDescent="0.25">
      <c r="J283" s="118">
        <v>1.0203561056082937</v>
      </c>
      <c r="K283" s="8">
        <v>101.98039027185568</v>
      </c>
      <c r="L283" s="8">
        <v>100</v>
      </c>
      <c r="M283" s="8">
        <v>107.70329614269008</v>
      </c>
      <c r="N283" s="8">
        <v>116.61903789690602</v>
      </c>
      <c r="O283" s="8">
        <v>141.42135623730951</v>
      </c>
      <c r="P283" s="8">
        <v>316.2277660168379</v>
      </c>
      <c r="Q283" s="8">
        <v>354.40090293338699</v>
      </c>
      <c r="R283" s="8">
        <v>373.63083384538811</v>
      </c>
      <c r="S283" s="8">
        <v>412.31056256176606</v>
      </c>
      <c r="T283" s="8">
        <v>431.74066289845808</v>
      </c>
      <c r="U283" s="8">
        <v>20</v>
      </c>
      <c r="V283" s="8">
        <v>10000</v>
      </c>
      <c r="W283" s="8">
        <v>40</v>
      </c>
      <c r="X283" s="8">
        <v>60</v>
      </c>
      <c r="Y283" s="8">
        <v>100</v>
      </c>
      <c r="Z283" s="8">
        <v>300</v>
      </c>
      <c r="AA283" s="8">
        <v>340</v>
      </c>
      <c r="AB283" s="8">
        <v>360</v>
      </c>
      <c r="AC283" s="8">
        <v>400</v>
      </c>
      <c r="AD283" s="8">
        <v>420</v>
      </c>
      <c r="AE283" s="8">
        <v>101.98039027185568</v>
      </c>
      <c r="AF283" s="8">
        <v>100</v>
      </c>
      <c r="AG283" s="8">
        <v>107.70329614269008</v>
      </c>
      <c r="AH283" s="8">
        <v>116.61903789690602</v>
      </c>
      <c r="AI283" s="8">
        <v>141.42135623730951</v>
      </c>
      <c r="AJ283" s="8">
        <v>412.31056256176606</v>
      </c>
      <c r="AK283" s="8">
        <v>354.40090293338699</v>
      </c>
      <c r="AL283" s="8">
        <v>373.63083384538811</v>
      </c>
      <c r="AM283" s="8">
        <v>412.31056256176606</v>
      </c>
      <c r="AN283" s="70">
        <v>431.74066289845808</v>
      </c>
    </row>
    <row r="284" spans="10:40" x14ac:dyDescent="0.25">
      <c r="J284" s="118">
        <v>0.92397175143331167</v>
      </c>
      <c r="K284" s="8">
        <v>116.61903789690602</v>
      </c>
      <c r="L284" s="8">
        <v>107.70329614269008</v>
      </c>
      <c r="M284" s="8">
        <v>100</v>
      </c>
      <c r="N284" s="8">
        <v>101.98039027185568</v>
      </c>
      <c r="O284" s="8">
        <v>116.61903789690602</v>
      </c>
      <c r="P284" s="8">
        <v>278.56776554368241</v>
      </c>
      <c r="Q284" s="8">
        <v>316.2277660168379</v>
      </c>
      <c r="R284" s="8">
        <v>335.26109228480425</v>
      </c>
      <c r="S284" s="8">
        <v>373.63083384538811</v>
      </c>
      <c r="T284" s="8">
        <v>392.93765408777</v>
      </c>
      <c r="U284" s="8">
        <v>60</v>
      </c>
      <c r="V284" s="8">
        <v>40</v>
      </c>
      <c r="W284" s="8">
        <v>10000</v>
      </c>
      <c r="X284" s="8">
        <v>20</v>
      </c>
      <c r="Y284" s="8">
        <v>60</v>
      </c>
      <c r="Z284" s="8">
        <v>260</v>
      </c>
      <c r="AA284" s="8">
        <v>300</v>
      </c>
      <c r="AB284" s="8">
        <v>320</v>
      </c>
      <c r="AC284" s="8">
        <v>360</v>
      </c>
      <c r="AD284" s="8">
        <v>380</v>
      </c>
      <c r="AE284" s="8">
        <v>116.61903789690602</v>
      </c>
      <c r="AF284" s="8">
        <v>107.70329614269008</v>
      </c>
      <c r="AG284" s="8">
        <v>100</v>
      </c>
      <c r="AH284" s="8">
        <v>101.98039027185568</v>
      </c>
      <c r="AI284" s="8">
        <v>116.61903789690602</v>
      </c>
      <c r="AJ284" s="8">
        <v>373.63083384538811</v>
      </c>
      <c r="AK284" s="8">
        <v>316.2277660168379</v>
      </c>
      <c r="AL284" s="8">
        <v>335.26109228480425</v>
      </c>
      <c r="AM284" s="8">
        <v>373.63083384538811</v>
      </c>
      <c r="AN284" s="70">
        <v>392.93765408777</v>
      </c>
    </row>
    <row r="285" spans="10:40" x14ac:dyDescent="0.25">
      <c r="J285" s="118">
        <v>0.88070386837905512</v>
      </c>
      <c r="K285" s="8">
        <v>128.06248474865697</v>
      </c>
      <c r="L285" s="8">
        <v>116.61903789690602</v>
      </c>
      <c r="M285" s="8">
        <v>101.98039027185568</v>
      </c>
      <c r="N285" s="8">
        <v>100</v>
      </c>
      <c r="O285" s="8">
        <v>107.70329614269008</v>
      </c>
      <c r="P285" s="8">
        <v>260</v>
      </c>
      <c r="Q285" s="8">
        <v>297.3213749463701</v>
      </c>
      <c r="R285" s="8">
        <v>316.2277660168379</v>
      </c>
      <c r="S285" s="8">
        <v>354.40090293338699</v>
      </c>
      <c r="T285" s="8">
        <v>373.63083384538811</v>
      </c>
      <c r="U285" s="8">
        <v>80</v>
      </c>
      <c r="V285" s="8">
        <v>60</v>
      </c>
      <c r="W285" s="8">
        <v>20</v>
      </c>
      <c r="X285" s="8">
        <v>10000</v>
      </c>
      <c r="Y285" s="8">
        <v>40</v>
      </c>
      <c r="Z285" s="8">
        <v>240</v>
      </c>
      <c r="AA285" s="8">
        <v>280</v>
      </c>
      <c r="AB285" s="8">
        <v>300</v>
      </c>
      <c r="AC285" s="8">
        <v>340</v>
      </c>
      <c r="AD285" s="8">
        <v>360</v>
      </c>
      <c r="AE285" s="8">
        <v>128.06248474865697</v>
      </c>
      <c r="AF285" s="8">
        <v>116.61903789690602</v>
      </c>
      <c r="AG285" s="8">
        <v>101.98039027185568</v>
      </c>
      <c r="AH285" s="8">
        <v>100</v>
      </c>
      <c r="AI285" s="8">
        <v>107.70329614269008</v>
      </c>
      <c r="AJ285" s="8">
        <v>354.40090293338699</v>
      </c>
      <c r="AK285" s="8">
        <v>297.3213749463701</v>
      </c>
      <c r="AL285" s="8">
        <v>316.2277660168379</v>
      </c>
      <c r="AM285" s="8">
        <v>354.40090293338699</v>
      </c>
      <c r="AN285" s="70">
        <v>373.63083384538811</v>
      </c>
    </row>
    <row r="286" spans="10:40" x14ac:dyDescent="0.25">
      <c r="J286" s="118">
        <v>0.80666232954537875</v>
      </c>
      <c r="K286" s="8">
        <v>156.20499351813308</v>
      </c>
      <c r="L286" s="8">
        <v>141.42135623730951</v>
      </c>
      <c r="M286" s="8">
        <v>116.61903789690602</v>
      </c>
      <c r="N286" s="8">
        <v>107.70329614269008</v>
      </c>
      <c r="O286" s="8">
        <v>100</v>
      </c>
      <c r="P286" s="8">
        <v>223.60679774997899</v>
      </c>
      <c r="Q286" s="8">
        <v>260</v>
      </c>
      <c r="R286" s="8">
        <v>278.56776554368241</v>
      </c>
      <c r="S286" s="8">
        <v>316.2277660168379</v>
      </c>
      <c r="T286" s="8">
        <v>335.26109228480425</v>
      </c>
      <c r="U286" s="8">
        <v>120</v>
      </c>
      <c r="V286" s="8">
        <v>100</v>
      </c>
      <c r="W286" s="8">
        <v>60</v>
      </c>
      <c r="X286" s="8">
        <v>40</v>
      </c>
      <c r="Y286" s="8">
        <v>10000</v>
      </c>
      <c r="Z286" s="8">
        <v>200</v>
      </c>
      <c r="AA286" s="8">
        <v>240</v>
      </c>
      <c r="AB286" s="8">
        <v>260</v>
      </c>
      <c r="AC286" s="8">
        <v>300</v>
      </c>
      <c r="AD286" s="8">
        <v>320</v>
      </c>
      <c r="AE286" s="8">
        <v>156.20499351813308</v>
      </c>
      <c r="AF286" s="8">
        <v>141.42135623730951</v>
      </c>
      <c r="AG286" s="8">
        <v>116.61903789690602</v>
      </c>
      <c r="AH286" s="8">
        <v>107.70329614269008</v>
      </c>
      <c r="AI286" s="8">
        <v>100</v>
      </c>
      <c r="AJ286" s="8">
        <v>316.2277660168379</v>
      </c>
      <c r="AK286" s="8">
        <v>260</v>
      </c>
      <c r="AL286" s="8">
        <v>278.56776554368241</v>
      </c>
      <c r="AM286" s="8">
        <v>316.2277660168379</v>
      </c>
      <c r="AN286" s="70">
        <v>335.26109228480425</v>
      </c>
    </row>
    <row r="287" spans="10:40" x14ac:dyDescent="0.25">
      <c r="J287" s="118">
        <v>0.80666232954537875</v>
      </c>
      <c r="K287" s="8">
        <v>335.26109228480425</v>
      </c>
      <c r="L287" s="8">
        <v>316.2277660168379</v>
      </c>
      <c r="M287" s="8">
        <v>278.56776554368241</v>
      </c>
      <c r="N287" s="8">
        <v>260</v>
      </c>
      <c r="O287" s="8">
        <v>223.60679774997899</v>
      </c>
      <c r="P287" s="8">
        <v>100</v>
      </c>
      <c r="Q287" s="8">
        <v>107.70329614269008</v>
      </c>
      <c r="R287" s="8">
        <v>116.61903789690602</v>
      </c>
      <c r="S287" s="8">
        <v>141.42135623730951</v>
      </c>
      <c r="T287" s="8">
        <v>156.20499351813308</v>
      </c>
      <c r="U287" s="8">
        <v>320</v>
      </c>
      <c r="V287" s="8">
        <v>300</v>
      </c>
      <c r="W287" s="8">
        <v>260</v>
      </c>
      <c r="X287" s="8">
        <v>240</v>
      </c>
      <c r="Y287" s="8">
        <v>200</v>
      </c>
      <c r="Z287" s="8">
        <v>10000</v>
      </c>
      <c r="AA287" s="8">
        <v>40</v>
      </c>
      <c r="AB287" s="8">
        <v>60</v>
      </c>
      <c r="AC287" s="8">
        <v>100</v>
      </c>
      <c r="AD287" s="8">
        <v>120</v>
      </c>
      <c r="AE287" s="8">
        <v>335.26109228480425</v>
      </c>
      <c r="AF287" s="8">
        <v>316.2277660168379</v>
      </c>
      <c r="AG287" s="8">
        <v>278.56776554368241</v>
      </c>
      <c r="AH287" s="8">
        <v>260</v>
      </c>
      <c r="AI287" s="8">
        <v>223.60679774997899</v>
      </c>
      <c r="AJ287" s="8">
        <v>141.42135623730951</v>
      </c>
      <c r="AK287" s="8">
        <v>107.70329614269008</v>
      </c>
      <c r="AL287" s="8">
        <v>116.61903789690602</v>
      </c>
      <c r="AM287" s="8">
        <v>141.42135623730951</v>
      </c>
      <c r="AN287" s="70">
        <v>156.20499351813308</v>
      </c>
    </row>
    <row r="288" spans="10:40" x14ac:dyDescent="0.25">
      <c r="J288" s="118">
        <v>0.88070386837905512</v>
      </c>
      <c r="K288" s="8">
        <v>373.63083384538811</v>
      </c>
      <c r="L288" s="8">
        <v>354.40090293338699</v>
      </c>
      <c r="M288" s="8">
        <v>316.2277660168379</v>
      </c>
      <c r="N288" s="8">
        <v>297.3213749463701</v>
      </c>
      <c r="O288" s="8">
        <v>260</v>
      </c>
      <c r="P288" s="8">
        <v>107.70329614269008</v>
      </c>
      <c r="Q288" s="8">
        <v>100</v>
      </c>
      <c r="R288" s="8">
        <v>101.98039027185568</v>
      </c>
      <c r="S288" s="8">
        <v>116.61903789690602</v>
      </c>
      <c r="T288" s="8">
        <v>128.06248474865697</v>
      </c>
      <c r="U288" s="8">
        <v>360</v>
      </c>
      <c r="V288" s="8">
        <v>340</v>
      </c>
      <c r="W288" s="8">
        <v>300</v>
      </c>
      <c r="X288" s="8">
        <v>280</v>
      </c>
      <c r="Y288" s="8">
        <v>240</v>
      </c>
      <c r="Z288" s="8">
        <v>40</v>
      </c>
      <c r="AA288" s="8">
        <v>10000</v>
      </c>
      <c r="AB288" s="8">
        <v>20</v>
      </c>
      <c r="AC288" s="8">
        <v>60</v>
      </c>
      <c r="AD288" s="8">
        <v>80</v>
      </c>
      <c r="AE288" s="8">
        <v>373.63083384538811</v>
      </c>
      <c r="AF288" s="8">
        <v>354.40090293338699</v>
      </c>
      <c r="AG288" s="8">
        <v>316.2277660168379</v>
      </c>
      <c r="AH288" s="8">
        <v>297.3213749463701</v>
      </c>
      <c r="AI288" s="8">
        <v>260</v>
      </c>
      <c r="AJ288" s="8">
        <v>116.61903789690602</v>
      </c>
      <c r="AK288" s="8">
        <v>100</v>
      </c>
      <c r="AL288" s="8">
        <v>101.98039027185568</v>
      </c>
      <c r="AM288" s="8">
        <v>116.61903789690602</v>
      </c>
      <c r="AN288" s="70">
        <v>128.06248474865697</v>
      </c>
    </row>
    <row r="289" spans="10:40" x14ac:dyDescent="0.25">
      <c r="J289" s="118">
        <v>0.92397175143331167</v>
      </c>
      <c r="K289" s="8">
        <v>392.93765408777</v>
      </c>
      <c r="L289" s="8">
        <v>373.63083384538811</v>
      </c>
      <c r="M289" s="8">
        <v>335.26109228480425</v>
      </c>
      <c r="N289" s="8">
        <v>316.2277660168379</v>
      </c>
      <c r="O289" s="8">
        <v>278.56776554368241</v>
      </c>
      <c r="P289" s="8">
        <v>116.61903789690602</v>
      </c>
      <c r="Q289" s="8">
        <v>101.98039027185568</v>
      </c>
      <c r="R289" s="8">
        <v>100</v>
      </c>
      <c r="S289" s="8">
        <v>107.70329614269008</v>
      </c>
      <c r="T289" s="8">
        <v>116.61903789690602</v>
      </c>
      <c r="U289" s="8">
        <v>380</v>
      </c>
      <c r="V289" s="8">
        <v>360</v>
      </c>
      <c r="W289" s="8">
        <v>320</v>
      </c>
      <c r="X289" s="8">
        <v>300</v>
      </c>
      <c r="Y289" s="8">
        <v>260</v>
      </c>
      <c r="Z289" s="8">
        <v>60</v>
      </c>
      <c r="AA289" s="8">
        <v>20</v>
      </c>
      <c r="AB289" s="8">
        <v>10000</v>
      </c>
      <c r="AC289" s="8">
        <v>40</v>
      </c>
      <c r="AD289" s="8">
        <v>60</v>
      </c>
      <c r="AE289" s="8">
        <v>392.93765408777</v>
      </c>
      <c r="AF289" s="8">
        <v>373.63083384538811</v>
      </c>
      <c r="AG289" s="8">
        <v>335.26109228480425</v>
      </c>
      <c r="AH289" s="8">
        <v>316.2277660168379</v>
      </c>
      <c r="AI289" s="8">
        <v>278.56776554368241</v>
      </c>
      <c r="AJ289" s="8">
        <v>107.70329614269008</v>
      </c>
      <c r="AK289" s="8">
        <v>101.98039027185568</v>
      </c>
      <c r="AL289" s="8">
        <v>100</v>
      </c>
      <c r="AM289" s="8">
        <v>107.70329614269008</v>
      </c>
      <c r="AN289" s="70">
        <v>116.61903789690602</v>
      </c>
    </row>
    <row r="290" spans="10:40" x14ac:dyDescent="0.25">
      <c r="J290" s="118">
        <v>1.0203561056082937</v>
      </c>
      <c r="K290" s="8">
        <v>431.74066289845808</v>
      </c>
      <c r="L290" s="8">
        <v>412.31056256176606</v>
      </c>
      <c r="M290" s="8">
        <v>373.63083384538811</v>
      </c>
      <c r="N290" s="8">
        <v>354.40090293338699</v>
      </c>
      <c r="O290" s="8">
        <v>316.2277660168379</v>
      </c>
      <c r="P290" s="8">
        <v>141.42135623730951</v>
      </c>
      <c r="Q290" s="8">
        <v>116.61903789690602</v>
      </c>
      <c r="R290" s="8">
        <v>107.70329614269008</v>
      </c>
      <c r="S290" s="8">
        <v>100</v>
      </c>
      <c r="T290" s="8">
        <v>101.98039027185568</v>
      </c>
      <c r="U290" s="8">
        <v>420</v>
      </c>
      <c r="V290" s="8">
        <v>400</v>
      </c>
      <c r="W290" s="8">
        <v>360</v>
      </c>
      <c r="X290" s="8">
        <v>340</v>
      </c>
      <c r="Y290" s="8">
        <v>300</v>
      </c>
      <c r="Z290" s="8">
        <v>100</v>
      </c>
      <c r="AA290" s="8">
        <v>60</v>
      </c>
      <c r="AB290" s="8">
        <v>40</v>
      </c>
      <c r="AC290" s="8">
        <v>10000</v>
      </c>
      <c r="AD290" s="8">
        <v>20</v>
      </c>
      <c r="AE290" s="8">
        <v>431.74066289845808</v>
      </c>
      <c r="AF290" s="8">
        <v>412.31056256176606</v>
      </c>
      <c r="AG290" s="8">
        <v>373.63083384538811</v>
      </c>
      <c r="AH290" s="8">
        <v>354.40090293338699</v>
      </c>
      <c r="AI290" s="8">
        <v>316.2277660168379</v>
      </c>
      <c r="AJ290" s="8">
        <v>100</v>
      </c>
      <c r="AK290" s="8">
        <v>116.61903789690602</v>
      </c>
      <c r="AL290" s="8">
        <v>107.70329614269008</v>
      </c>
      <c r="AM290" s="8">
        <v>100</v>
      </c>
      <c r="AN290" s="70">
        <v>101.98039027185568</v>
      </c>
    </row>
    <row r="291" spans="10:40" x14ac:dyDescent="0.25">
      <c r="J291" s="118">
        <v>1.072587932706963</v>
      </c>
      <c r="K291" s="8">
        <v>451.22056690713907</v>
      </c>
      <c r="L291" s="8">
        <v>431.74066289845808</v>
      </c>
      <c r="M291" s="8">
        <v>392.93765408777</v>
      </c>
      <c r="N291" s="8">
        <v>373.63083384538811</v>
      </c>
      <c r="O291" s="8">
        <v>335.26109228480425</v>
      </c>
      <c r="P291" s="8">
        <v>156.20499351813308</v>
      </c>
      <c r="Q291" s="8">
        <v>128.06248474865697</v>
      </c>
      <c r="R291" s="8">
        <v>116.61903789690602</v>
      </c>
      <c r="S291" s="8">
        <v>101.98039027185568</v>
      </c>
      <c r="T291" s="8">
        <v>100</v>
      </c>
      <c r="U291" s="8">
        <v>440</v>
      </c>
      <c r="V291" s="8">
        <v>420</v>
      </c>
      <c r="W291" s="8">
        <v>380</v>
      </c>
      <c r="X291" s="8">
        <v>360</v>
      </c>
      <c r="Y291" s="8">
        <v>320</v>
      </c>
      <c r="Z291" s="8">
        <v>120</v>
      </c>
      <c r="AA291" s="8">
        <v>80</v>
      </c>
      <c r="AB291" s="8">
        <v>60</v>
      </c>
      <c r="AC291" s="8">
        <v>20</v>
      </c>
      <c r="AD291" s="8">
        <v>10000</v>
      </c>
      <c r="AE291" s="8">
        <v>451.22056690713907</v>
      </c>
      <c r="AF291" s="8">
        <v>431.74066289845808</v>
      </c>
      <c r="AG291" s="8">
        <v>392.93765408777</v>
      </c>
      <c r="AH291" s="8">
        <v>373.63083384538811</v>
      </c>
      <c r="AI291" s="8">
        <v>335.26109228480425</v>
      </c>
      <c r="AJ291" s="8">
        <v>101.98039027185568</v>
      </c>
      <c r="AK291" s="8">
        <v>128.06248474865697</v>
      </c>
      <c r="AL291" s="8">
        <v>116.61903789690602</v>
      </c>
      <c r="AM291" s="8">
        <v>101.98039027185568</v>
      </c>
      <c r="AN291" s="70">
        <v>100</v>
      </c>
    </row>
    <row r="292" spans="10:40" x14ac:dyDescent="0.25">
      <c r="J292" s="118">
        <v>1.3420689204717373</v>
      </c>
      <c r="K292" s="8">
        <v>200</v>
      </c>
      <c r="L292" s="8">
        <v>200.9975124224178</v>
      </c>
      <c r="M292" s="8">
        <v>208.80613017821102</v>
      </c>
      <c r="N292" s="8">
        <v>215.40659228538016</v>
      </c>
      <c r="O292" s="8">
        <v>233.23807579381204</v>
      </c>
      <c r="P292" s="8">
        <v>377.35924528226411</v>
      </c>
      <c r="Q292" s="8">
        <v>411.82520563948003</v>
      </c>
      <c r="R292" s="8">
        <v>429.41821107167777</v>
      </c>
      <c r="S292" s="8">
        <v>465.18813398452033</v>
      </c>
      <c r="T292" s="8">
        <v>483.32183894378284</v>
      </c>
      <c r="U292" s="8">
        <v>100</v>
      </c>
      <c r="V292" s="8">
        <v>101.98039027185568</v>
      </c>
      <c r="W292" s="8">
        <v>116.61903789690602</v>
      </c>
      <c r="X292" s="8">
        <v>128.06248474865697</v>
      </c>
      <c r="Y292" s="8">
        <v>156.20499351813308</v>
      </c>
      <c r="Z292" s="8">
        <v>335.26109228480425</v>
      </c>
      <c r="AA292" s="8">
        <v>373.63083384538811</v>
      </c>
      <c r="AB292" s="8">
        <v>392.93765408777</v>
      </c>
      <c r="AC292" s="8">
        <v>431.74066289845808</v>
      </c>
      <c r="AD292" s="8">
        <v>451.22056690713907</v>
      </c>
      <c r="AE292" s="8">
        <v>10000</v>
      </c>
      <c r="AF292" s="8">
        <v>20</v>
      </c>
      <c r="AG292" s="8">
        <v>60</v>
      </c>
      <c r="AH292" s="8">
        <v>80</v>
      </c>
      <c r="AI292" s="8">
        <v>120</v>
      </c>
      <c r="AJ292" s="8">
        <v>420</v>
      </c>
      <c r="AK292" s="8">
        <v>360</v>
      </c>
      <c r="AL292" s="8">
        <v>380</v>
      </c>
      <c r="AM292" s="8">
        <v>420</v>
      </c>
      <c r="AN292" s="70">
        <v>440</v>
      </c>
    </row>
    <row r="293" spans="10:40" x14ac:dyDescent="0.25">
      <c r="J293" s="118">
        <v>1.3007039233275575</v>
      </c>
      <c r="K293" s="8">
        <v>200.9975124224178</v>
      </c>
      <c r="L293" s="8">
        <v>200</v>
      </c>
      <c r="M293" s="8">
        <v>203.96078054371137</v>
      </c>
      <c r="N293" s="8">
        <v>208.80613017821102</v>
      </c>
      <c r="O293" s="8">
        <v>223.60679774997899</v>
      </c>
      <c r="P293" s="8">
        <v>360.55512754639892</v>
      </c>
      <c r="Q293" s="8">
        <v>394.46165846632039</v>
      </c>
      <c r="R293" s="8">
        <v>411.82520563948003</v>
      </c>
      <c r="S293" s="8">
        <v>447.21359549995799</v>
      </c>
      <c r="T293" s="8">
        <v>465.18813398452033</v>
      </c>
      <c r="U293" s="8">
        <v>101.98039027185568</v>
      </c>
      <c r="V293" s="8">
        <v>100</v>
      </c>
      <c r="W293" s="8">
        <v>107.70329614269008</v>
      </c>
      <c r="X293" s="8">
        <v>116.61903789690602</v>
      </c>
      <c r="Y293" s="8">
        <v>141.42135623730951</v>
      </c>
      <c r="Z293" s="8">
        <v>316.2277660168379</v>
      </c>
      <c r="AA293" s="8">
        <v>354.40090293338699</v>
      </c>
      <c r="AB293" s="8">
        <v>373.63083384538811</v>
      </c>
      <c r="AC293" s="8">
        <v>412.31056256176606</v>
      </c>
      <c r="AD293" s="8">
        <v>431.74066289845808</v>
      </c>
      <c r="AE293" s="8">
        <v>20</v>
      </c>
      <c r="AF293" s="8">
        <v>10000</v>
      </c>
      <c r="AG293" s="8">
        <v>40</v>
      </c>
      <c r="AH293" s="8">
        <v>60</v>
      </c>
      <c r="AI293" s="8">
        <v>100</v>
      </c>
      <c r="AJ293" s="8">
        <v>400</v>
      </c>
      <c r="AK293" s="8">
        <v>340</v>
      </c>
      <c r="AL293" s="8">
        <v>360</v>
      </c>
      <c r="AM293" s="8">
        <v>400</v>
      </c>
      <c r="AN293" s="70">
        <v>420</v>
      </c>
    </row>
    <row r="294" spans="10:40" x14ac:dyDescent="0.25">
      <c r="J294" s="118">
        <v>1.2265512265512264</v>
      </c>
      <c r="K294" s="8">
        <v>208.80613017821102</v>
      </c>
      <c r="L294" s="8">
        <v>203.96078054371137</v>
      </c>
      <c r="M294" s="8">
        <v>200</v>
      </c>
      <c r="N294" s="8">
        <v>200.9975124224178</v>
      </c>
      <c r="O294" s="8">
        <v>208.80613017821102</v>
      </c>
      <c r="P294" s="8">
        <v>328.02438933713455</v>
      </c>
      <c r="Q294" s="8">
        <v>360.55512754639892</v>
      </c>
      <c r="R294" s="8">
        <v>377.35924528226411</v>
      </c>
      <c r="S294" s="8">
        <v>411.82520563948003</v>
      </c>
      <c r="T294" s="8">
        <v>429.41821107167777</v>
      </c>
      <c r="U294" s="8">
        <v>116.61903789690602</v>
      </c>
      <c r="V294" s="8">
        <v>107.70329614269008</v>
      </c>
      <c r="W294" s="8">
        <v>100</v>
      </c>
      <c r="X294" s="8">
        <v>101.98039027185568</v>
      </c>
      <c r="Y294" s="8">
        <v>116.61903789690602</v>
      </c>
      <c r="Z294" s="8">
        <v>278.56776554368241</v>
      </c>
      <c r="AA294" s="8">
        <v>316.2277660168379</v>
      </c>
      <c r="AB294" s="8">
        <v>335.26109228480425</v>
      </c>
      <c r="AC294" s="8">
        <v>373.63083384538811</v>
      </c>
      <c r="AD294" s="8">
        <v>392.93765408777</v>
      </c>
      <c r="AE294" s="8">
        <v>60</v>
      </c>
      <c r="AF294" s="8">
        <v>40</v>
      </c>
      <c r="AG294" s="8">
        <v>10000</v>
      </c>
      <c r="AH294" s="8">
        <v>20</v>
      </c>
      <c r="AI294" s="8">
        <v>60</v>
      </c>
      <c r="AJ294" s="8">
        <v>360</v>
      </c>
      <c r="AK294" s="8">
        <v>300</v>
      </c>
      <c r="AL294" s="8">
        <v>320</v>
      </c>
      <c r="AM294" s="8">
        <v>360</v>
      </c>
      <c r="AN294" s="70">
        <v>380</v>
      </c>
    </row>
    <row r="295" spans="10:40" x14ac:dyDescent="0.25">
      <c r="J295" s="118">
        <v>1.1942962018215622</v>
      </c>
      <c r="K295" s="8">
        <v>215.40659228538016</v>
      </c>
      <c r="L295" s="8">
        <v>208.80613017821102</v>
      </c>
      <c r="M295" s="8">
        <v>200.9975124224178</v>
      </c>
      <c r="N295" s="8">
        <v>200</v>
      </c>
      <c r="O295" s="8">
        <v>203.96078054371137</v>
      </c>
      <c r="P295" s="8">
        <v>312.40998703626616</v>
      </c>
      <c r="Q295" s="8">
        <v>344.0930106817051</v>
      </c>
      <c r="R295" s="8">
        <v>360.55512754639892</v>
      </c>
      <c r="S295" s="8">
        <v>394.46165846632039</v>
      </c>
      <c r="T295" s="8">
        <v>411.82520563948003</v>
      </c>
      <c r="U295" s="8">
        <v>128.06248474865697</v>
      </c>
      <c r="V295" s="8">
        <v>116.61903789690602</v>
      </c>
      <c r="W295" s="8">
        <v>101.98039027185568</v>
      </c>
      <c r="X295" s="8">
        <v>100</v>
      </c>
      <c r="Y295" s="8">
        <v>107.70329614269008</v>
      </c>
      <c r="Z295" s="8">
        <v>260</v>
      </c>
      <c r="AA295" s="8">
        <v>297.3213749463701</v>
      </c>
      <c r="AB295" s="8">
        <v>316.2277660168379</v>
      </c>
      <c r="AC295" s="8">
        <v>354.40090293338699</v>
      </c>
      <c r="AD295" s="8">
        <v>373.63083384538811</v>
      </c>
      <c r="AE295" s="8">
        <v>80</v>
      </c>
      <c r="AF295" s="8">
        <v>60</v>
      </c>
      <c r="AG295" s="8">
        <v>20</v>
      </c>
      <c r="AH295" s="8">
        <v>10000</v>
      </c>
      <c r="AI295" s="8">
        <v>40</v>
      </c>
      <c r="AJ295" s="8">
        <v>340</v>
      </c>
      <c r="AK295" s="8">
        <v>280</v>
      </c>
      <c r="AL295" s="8">
        <v>300</v>
      </c>
      <c r="AM295" s="8">
        <v>340</v>
      </c>
      <c r="AN295" s="70">
        <v>360</v>
      </c>
    </row>
    <row r="296" spans="10:40" x14ac:dyDescent="0.25">
      <c r="J296" s="118">
        <v>1.1407928066985495</v>
      </c>
      <c r="K296" s="8">
        <v>233.23807579381204</v>
      </c>
      <c r="L296" s="8">
        <v>223.60679774997899</v>
      </c>
      <c r="M296" s="8">
        <v>208.80613017821102</v>
      </c>
      <c r="N296" s="8">
        <v>203.96078054371137</v>
      </c>
      <c r="O296" s="8">
        <v>200</v>
      </c>
      <c r="P296" s="8">
        <v>282.84271247461902</v>
      </c>
      <c r="Q296" s="8">
        <v>312.40998703626616</v>
      </c>
      <c r="R296" s="8">
        <v>328.02438933713455</v>
      </c>
      <c r="S296" s="8">
        <v>360.55512754639892</v>
      </c>
      <c r="T296" s="8">
        <v>377.35924528226411</v>
      </c>
      <c r="U296" s="8">
        <v>156.20499351813308</v>
      </c>
      <c r="V296" s="8">
        <v>141.42135623730951</v>
      </c>
      <c r="W296" s="8">
        <v>116.61903789690602</v>
      </c>
      <c r="X296" s="8">
        <v>107.70329614269008</v>
      </c>
      <c r="Y296" s="8">
        <v>100</v>
      </c>
      <c r="Z296" s="8">
        <v>223.60679774997899</v>
      </c>
      <c r="AA296" s="8">
        <v>260</v>
      </c>
      <c r="AB296" s="8">
        <v>278.56776554368241</v>
      </c>
      <c r="AC296" s="8">
        <v>316.2277660168379</v>
      </c>
      <c r="AD296" s="8">
        <v>335.26109228480425</v>
      </c>
      <c r="AE296" s="8">
        <v>120</v>
      </c>
      <c r="AF296" s="8">
        <v>100</v>
      </c>
      <c r="AG296" s="8">
        <v>60</v>
      </c>
      <c r="AH296" s="8">
        <v>40</v>
      </c>
      <c r="AI296" s="8">
        <v>10000</v>
      </c>
      <c r="AJ296" s="8">
        <v>300</v>
      </c>
      <c r="AK296" s="8">
        <v>240</v>
      </c>
      <c r="AL296" s="8">
        <v>260</v>
      </c>
      <c r="AM296" s="8">
        <v>300</v>
      </c>
      <c r="AN296" s="70">
        <v>320</v>
      </c>
    </row>
    <row r="297" spans="10:40" x14ac:dyDescent="0.25">
      <c r="J297" s="118">
        <v>1.3613248386806065</v>
      </c>
      <c r="K297" s="8">
        <v>465.18813398452033</v>
      </c>
      <c r="L297" s="8">
        <v>447.21359549995799</v>
      </c>
      <c r="M297" s="8">
        <v>411.82520563948003</v>
      </c>
      <c r="N297" s="8">
        <v>394.46165846632039</v>
      </c>
      <c r="O297" s="8">
        <v>360.55512754639892</v>
      </c>
      <c r="P297" s="8">
        <v>223.60679774997899</v>
      </c>
      <c r="Q297" s="8">
        <v>208.80613017821102</v>
      </c>
      <c r="R297" s="8">
        <v>203.96078054371137</v>
      </c>
      <c r="S297" s="8">
        <v>200</v>
      </c>
      <c r="T297" s="8">
        <v>200.9975124224178</v>
      </c>
      <c r="U297" s="8">
        <v>431.74066289845808</v>
      </c>
      <c r="V297" s="8">
        <v>412.31056256176606</v>
      </c>
      <c r="W297" s="8">
        <v>373.63083384538811</v>
      </c>
      <c r="X297" s="8">
        <v>354.40090293338699</v>
      </c>
      <c r="Y297" s="8">
        <v>316.2277660168379</v>
      </c>
      <c r="Z297" s="8">
        <v>141.42135623730951</v>
      </c>
      <c r="AA297" s="8">
        <v>116.61903789690602</v>
      </c>
      <c r="AB297" s="8">
        <v>107.70329614269008</v>
      </c>
      <c r="AC297" s="8">
        <v>100</v>
      </c>
      <c r="AD297" s="8">
        <v>101.98039027185568</v>
      </c>
      <c r="AE297" s="8">
        <v>420</v>
      </c>
      <c r="AF297" s="8">
        <v>400</v>
      </c>
      <c r="AG297" s="8">
        <v>360</v>
      </c>
      <c r="AH297" s="8">
        <v>340</v>
      </c>
      <c r="AI297" s="8">
        <v>300</v>
      </c>
      <c r="AJ297" s="8">
        <v>10000</v>
      </c>
      <c r="AK297" s="8">
        <v>60</v>
      </c>
      <c r="AL297" s="8">
        <v>40</v>
      </c>
      <c r="AM297" s="8">
        <v>0</v>
      </c>
      <c r="AN297" s="70">
        <v>20</v>
      </c>
    </row>
    <row r="298" spans="10:40" x14ac:dyDescent="0.25">
      <c r="J298" s="118">
        <v>1.1942962018215622</v>
      </c>
      <c r="K298" s="8">
        <v>411.82520563948003</v>
      </c>
      <c r="L298" s="8">
        <v>394.46165846632039</v>
      </c>
      <c r="M298" s="8">
        <v>360.55512754639892</v>
      </c>
      <c r="N298" s="8">
        <v>344.0930106817051</v>
      </c>
      <c r="O298" s="8">
        <v>312.40998703626616</v>
      </c>
      <c r="P298" s="8">
        <v>203.96078054371137</v>
      </c>
      <c r="Q298" s="8">
        <v>200</v>
      </c>
      <c r="R298" s="8">
        <v>200.9975124224178</v>
      </c>
      <c r="S298" s="8">
        <v>208.80613017821102</v>
      </c>
      <c r="T298" s="8">
        <v>215.40659228538016</v>
      </c>
      <c r="U298" s="8">
        <v>373.63083384538811</v>
      </c>
      <c r="V298" s="8">
        <v>354.40090293338699</v>
      </c>
      <c r="W298" s="8">
        <v>316.2277660168379</v>
      </c>
      <c r="X298" s="8">
        <v>297.3213749463701</v>
      </c>
      <c r="Y298" s="8">
        <v>260</v>
      </c>
      <c r="Z298" s="8">
        <v>107.70329614269008</v>
      </c>
      <c r="AA298" s="8">
        <v>100</v>
      </c>
      <c r="AB298" s="8">
        <v>101.98039027185568</v>
      </c>
      <c r="AC298" s="8">
        <v>116.61903789690602</v>
      </c>
      <c r="AD298" s="8">
        <v>128.06248474865697</v>
      </c>
      <c r="AE298" s="8">
        <v>360</v>
      </c>
      <c r="AF298" s="8">
        <v>340</v>
      </c>
      <c r="AG298" s="8">
        <v>300</v>
      </c>
      <c r="AH298" s="8">
        <v>280</v>
      </c>
      <c r="AI298" s="8">
        <v>240</v>
      </c>
      <c r="AJ298" s="8">
        <v>60</v>
      </c>
      <c r="AK298" s="8">
        <v>10000</v>
      </c>
      <c r="AL298" s="8">
        <v>20</v>
      </c>
      <c r="AM298" s="8">
        <v>60</v>
      </c>
      <c r="AN298" s="70">
        <v>80</v>
      </c>
    </row>
    <row r="299" spans="10:40" x14ac:dyDescent="0.25">
      <c r="J299" s="118">
        <v>1.2265512265512264</v>
      </c>
      <c r="K299" s="8">
        <v>429.41821107167777</v>
      </c>
      <c r="L299" s="8">
        <v>411.82520563948003</v>
      </c>
      <c r="M299" s="8">
        <v>377.35924528226411</v>
      </c>
      <c r="N299" s="8">
        <v>360.55512754639892</v>
      </c>
      <c r="O299" s="8">
        <v>328.02438933713455</v>
      </c>
      <c r="P299" s="8">
        <v>208.80613017821102</v>
      </c>
      <c r="Q299" s="8">
        <v>200.9975124224178</v>
      </c>
      <c r="R299" s="8">
        <v>200</v>
      </c>
      <c r="S299" s="8">
        <v>203.96078054371137</v>
      </c>
      <c r="T299" s="8">
        <v>208.80613017821102</v>
      </c>
      <c r="U299" s="8">
        <v>392.93765408777</v>
      </c>
      <c r="V299" s="8">
        <v>373.63083384538811</v>
      </c>
      <c r="W299" s="8">
        <v>335.26109228480425</v>
      </c>
      <c r="X299" s="8">
        <v>316.2277660168379</v>
      </c>
      <c r="Y299" s="8">
        <v>278.56776554368241</v>
      </c>
      <c r="Z299" s="8">
        <v>116.61903789690602</v>
      </c>
      <c r="AA299" s="8">
        <v>101.98039027185568</v>
      </c>
      <c r="AB299" s="8">
        <v>100</v>
      </c>
      <c r="AC299" s="8">
        <v>107.70329614269008</v>
      </c>
      <c r="AD299" s="8">
        <v>116.61903789690602</v>
      </c>
      <c r="AE299" s="8">
        <v>380</v>
      </c>
      <c r="AF299" s="8">
        <v>360</v>
      </c>
      <c r="AG299" s="8">
        <v>320</v>
      </c>
      <c r="AH299" s="8">
        <v>300</v>
      </c>
      <c r="AI299" s="8">
        <v>260</v>
      </c>
      <c r="AJ299" s="8">
        <v>40</v>
      </c>
      <c r="AK299" s="8">
        <v>20</v>
      </c>
      <c r="AL299" s="8">
        <v>10000</v>
      </c>
      <c r="AM299" s="8">
        <v>40</v>
      </c>
      <c r="AN299" s="70">
        <v>60</v>
      </c>
    </row>
    <row r="300" spans="10:40" x14ac:dyDescent="0.25">
      <c r="J300" s="118">
        <v>1.3007039233275575</v>
      </c>
      <c r="K300" s="8">
        <v>465.18813398452033</v>
      </c>
      <c r="L300" s="8">
        <v>447.21359549995799</v>
      </c>
      <c r="M300" s="8">
        <v>411.82520563948003</v>
      </c>
      <c r="N300" s="8">
        <v>394.46165846632039</v>
      </c>
      <c r="O300" s="8">
        <v>360.55512754639892</v>
      </c>
      <c r="P300" s="8">
        <v>223.60679774997899</v>
      </c>
      <c r="Q300" s="8">
        <v>208.80613017821102</v>
      </c>
      <c r="R300" s="8">
        <v>203.96078054371137</v>
      </c>
      <c r="S300" s="8">
        <v>200</v>
      </c>
      <c r="T300" s="8">
        <v>200.9975124224178</v>
      </c>
      <c r="U300" s="8">
        <v>431.74066289845808</v>
      </c>
      <c r="V300" s="8">
        <v>412.31056256176606</v>
      </c>
      <c r="W300" s="8">
        <v>373.63083384538811</v>
      </c>
      <c r="X300" s="8">
        <v>354.40090293338699</v>
      </c>
      <c r="Y300" s="8">
        <v>316.2277660168379</v>
      </c>
      <c r="Z300" s="8">
        <v>141.42135623730951</v>
      </c>
      <c r="AA300" s="8">
        <v>116.61903789690602</v>
      </c>
      <c r="AB300" s="8">
        <v>107.70329614269008</v>
      </c>
      <c r="AC300" s="8">
        <v>100</v>
      </c>
      <c r="AD300" s="8">
        <v>101.98039027185568</v>
      </c>
      <c r="AE300" s="8">
        <v>420</v>
      </c>
      <c r="AF300" s="8">
        <v>400</v>
      </c>
      <c r="AG300" s="8">
        <v>360</v>
      </c>
      <c r="AH300" s="8">
        <v>340</v>
      </c>
      <c r="AI300" s="8">
        <v>300</v>
      </c>
      <c r="AJ300" s="8">
        <v>0</v>
      </c>
      <c r="AK300" s="8">
        <v>60</v>
      </c>
      <c r="AL300" s="8">
        <v>40</v>
      </c>
      <c r="AM300" s="8">
        <v>10000</v>
      </c>
      <c r="AN300" s="70">
        <v>20</v>
      </c>
    </row>
    <row r="301" spans="10:40" x14ac:dyDescent="0.25">
      <c r="J301" s="118">
        <v>1.3420689204717373</v>
      </c>
      <c r="K301" s="8">
        <v>483.32183894378284</v>
      </c>
      <c r="L301" s="8">
        <v>465.18813398452033</v>
      </c>
      <c r="M301" s="8">
        <v>429.41821107167777</v>
      </c>
      <c r="N301" s="8">
        <v>411.82520563948003</v>
      </c>
      <c r="O301" s="8">
        <v>377.35924528226411</v>
      </c>
      <c r="P301" s="8">
        <v>233.23807579381204</v>
      </c>
      <c r="Q301" s="8">
        <v>215.40659228538016</v>
      </c>
      <c r="R301" s="8">
        <v>208.80613017821102</v>
      </c>
      <c r="S301" s="8">
        <v>200.9975124224178</v>
      </c>
      <c r="T301" s="8">
        <v>200</v>
      </c>
      <c r="U301" s="8">
        <v>451.22056690713907</v>
      </c>
      <c r="V301" s="8">
        <v>431.74066289845808</v>
      </c>
      <c r="W301" s="8">
        <v>392.93765408777</v>
      </c>
      <c r="X301" s="8">
        <v>373.63083384538811</v>
      </c>
      <c r="Y301" s="8">
        <v>335.26109228480425</v>
      </c>
      <c r="Z301" s="8">
        <v>156.20499351813308</v>
      </c>
      <c r="AA301" s="8">
        <v>128.06248474865697</v>
      </c>
      <c r="AB301" s="8">
        <v>116.61903789690602</v>
      </c>
      <c r="AC301" s="8">
        <v>101.98039027185568</v>
      </c>
      <c r="AD301" s="8">
        <v>100</v>
      </c>
      <c r="AE301" s="8">
        <v>440</v>
      </c>
      <c r="AF301" s="8">
        <v>420</v>
      </c>
      <c r="AG301" s="8">
        <v>380</v>
      </c>
      <c r="AH301" s="8">
        <v>360</v>
      </c>
      <c r="AI301" s="8">
        <v>320</v>
      </c>
      <c r="AJ301" s="8">
        <v>20</v>
      </c>
      <c r="AK301" s="8">
        <v>80</v>
      </c>
      <c r="AL301" s="8">
        <v>60</v>
      </c>
      <c r="AM301" s="8">
        <v>20</v>
      </c>
      <c r="AN301" s="70">
        <v>10000</v>
      </c>
    </row>
  </sheetData>
  <mergeCells count="25">
    <mergeCell ref="BB28:BE30"/>
    <mergeCell ref="BF28:BH30"/>
    <mergeCell ref="U186:AA188"/>
    <mergeCell ref="T230:AA231"/>
    <mergeCell ref="R268:W270"/>
    <mergeCell ref="BB17:BE20"/>
    <mergeCell ref="BF17:BH20"/>
    <mergeCell ref="BB21:BE24"/>
    <mergeCell ref="BF21:BH24"/>
    <mergeCell ref="BP24:BQ26"/>
    <mergeCell ref="BR24:BS26"/>
    <mergeCell ref="BB25:BE27"/>
    <mergeCell ref="BF25:BH27"/>
    <mergeCell ref="BP27:BQ29"/>
    <mergeCell ref="BR27:BS29"/>
    <mergeCell ref="N1:T2"/>
    <mergeCell ref="BB7:BJ9"/>
    <mergeCell ref="BN7:BT15"/>
    <mergeCell ref="BB11:BH12"/>
    <mergeCell ref="BB13:BE14"/>
    <mergeCell ref="BF13:BH14"/>
    <mergeCell ref="BI13:BK14"/>
    <mergeCell ref="BB15:BE16"/>
    <mergeCell ref="BF15:BH16"/>
    <mergeCell ref="BI15:BK16"/>
  </mergeCells>
  <conditionalFormatting sqref="I9:AM39">
    <cfRule type="cellIs" dxfId="4" priority="4" operator="equal">
      <formula>1000</formula>
    </cfRule>
    <cfRule type="cellIs" dxfId="3" priority="5" operator="equal">
      <formula>0</formula>
    </cfRule>
  </conditionalFormatting>
  <conditionalFormatting sqref="I55:AM85">
    <cfRule type="cellIs" dxfId="2" priority="3" operator="equal">
      <formula>1</formula>
    </cfRule>
  </conditionalFormatting>
  <conditionalFormatting sqref="J195:AN225">
    <cfRule type="cellIs" dxfId="1" priority="1" operator="equal">
      <formula>1000</formula>
    </cfRule>
    <cfRule type="cellIs" dxfId="0" priority="2" operator="equal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BD008-142A-4806-9CEF-C2640A948C15}">
  <dimension ref="A1:AD87"/>
  <sheetViews>
    <sheetView showGridLines="0" tabSelected="1" topLeftCell="A46" zoomScale="97" workbookViewId="0">
      <selection activeCell="M23" sqref="M23"/>
    </sheetView>
  </sheetViews>
  <sheetFormatPr defaultRowHeight="15" x14ac:dyDescent="0.25"/>
  <cols>
    <col min="1" max="1" width="41.7109375" customWidth="1"/>
    <col min="2" max="2" width="23" customWidth="1"/>
    <col min="3" max="3" width="27.42578125" customWidth="1"/>
    <col min="5" max="5" width="21.5703125" customWidth="1"/>
    <col min="6" max="6" width="24.140625" customWidth="1"/>
    <col min="7" max="7" width="14.85546875" customWidth="1"/>
    <col min="8" max="8" width="21.140625" customWidth="1"/>
    <col min="9" max="9" width="17.42578125" customWidth="1"/>
    <col min="10" max="10" width="29.140625" customWidth="1"/>
    <col min="11" max="11" width="21.42578125" customWidth="1"/>
    <col min="13" max="13" width="12" bestFit="1" customWidth="1"/>
    <col min="18" max="18" width="13.85546875" customWidth="1"/>
  </cols>
  <sheetData>
    <row r="1" spans="1:30" ht="21.75" thickBot="1" x14ac:dyDescent="0.4">
      <c r="A1" s="1"/>
      <c r="C1" s="23" t="s">
        <v>0</v>
      </c>
      <c r="D1" s="24"/>
      <c r="E1" s="24"/>
      <c r="F1" s="24"/>
      <c r="G1" s="24"/>
      <c r="H1" s="24"/>
      <c r="P1" s="156" t="s">
        <v>89</v>
      </c>
      <c r="Q1" s="157"/>
      <c r="R1" s="158"/>
      <c r="S1" s="153">
        <v>55351917.978760496</v>
      </c>
      <c r="T1" s="154"/>
      <c r="U1" s="154"/>
      <c r="V1" s="155"/>
      <c r="X1" s="123" t="s">
        <v>89</v>
      </c>
      <c r="Y1" s="124"/>
      <c r="Z1" s="124"/>
      <c r="AA1" s="125">
        <f>(H11-C11)*0.8+C11</f>
        <v>58585038.652506992</v>
      </c>
      <c r="AB1" s="125"/>
      <c r="AC1" s="125"/>
      <c r="AD1" s="126"/>
    </row>
    <row r="2" spans="1:30" ht="21.75" thickBot="1" x14ac:dyDescent="0.4">
      <c r="A2" s="1"/>
      <c r="P2" s="150" t="s">
        <v>90</v>
      </c>
      <c r="Q2" s="151"/>
      <c r="R2" s="152"/>
      <c r="S2" s="147">
        <v>32720073.262534998</v>
      </c>
      <c r="T2" s="148"/>
      <c r="U2" s="148"/>
      <c r="V2" s="149"/>
      <c r="X2" s="127" t="s">
        <v>90</v>
      </c>
      <c r="Y2" s="122"/>
      <c r="Z2" s="122"/>
      <c r="AA2" s="121">
        <f>C11</f>
        <v>32720073.262534998</v>
      </c>
      <c r="AB2" s="121"/>
      <c r="AC2" s="121"/>
      <c r="AD2" s="128"/>
    </row>
    <row r="3" spans="1:30" ht="21.75" thickBot="1" x14ac:dyDescent="0.4">
      <c r="A3" s="162" t="s">
        <v>2</v>
      </c>
      <c r="B3" s="163"/>
      <c r="C3" s="164"/>
      <c r="F3" s="162" t="s">
        <v>1</v>
      </c>
      <c r="G3" s="163"/>
      <c r="H3" s="164"/>
      <c r="K3" s="162" t="s">
        <v>85</v>
      </c>
      <c r="L3" s="163"/>
      <c r="M3" s="164"/>
      <c r="P3" s="159" t="s">
        <v>88</v>
      </c>
      <c r="Q3" s="160"/>
      <c r="R3" s="161"/>
      <c r="S3" s="147">
        <v>22631844.716225497</v>
      </c>
      <c r="T3" s="148"/>
      <c r="U3" s="148"/>
      <c r="V3" s="149"/>
      <c r="X3" s="129" t="s">
        <v>88</v>
      </c>
      <c r="Y3" s="130"/>
      <c r="Z3" s="130"/>
      <c r="AA3" s="131">
        <f>AA1-AA2</f>
        <v>25864965.389971994</v>
      </c>
      <c r="AB3" s="131"/>
      <c r="AC3" s="131"/>
      <c r="AD3" s="132"/>
    </row>
    <row r="4" spans="1:30" ht="21.75" thickBot="1" x14ac:dyDescent="0.4">
      <c r="A4" s="52" t="s">
        <v>4</v>
      </c>
      <c r="B4" s="53"/>
      <c r="C4" s="2">
        <v>3000</v>
      </c>
      <c r="D4" s="3"/>
      <c r="F4" s="52" t="s">
        <v>3</v>
      </c>
      <c r="G4" s="53"/>
      <c r="H4" s="2">
        <v>3000</v>
      </c>
      <c r="K4" s="52" t="s">
        <v>4</v>
      </c>
      <c r="L4" s="53"/>
      <c r="M4" s="2">
        <v>3000</v>
      </c>
      <c r="P4" s="166" t="s">
        <v>91</v>
      </c>
      <c r="Q4" s="167"/>
      <c r="R4" s="168"/>
      <c r="S4" s="147">
        <v>65051279.999999993</v>
      </c>
      <c r="T4" s="148"/>
      <c r="U4" s="148"/>
      <c r="V4" s="165"/>
      <c r="X4" s="133" t="s">
        <v>91</v>
      </c>
      <c r="Y4" s="134"/>
      <c r="Z4" s="135"/>
      <c r="AA4" s="136">
        <f>H11</f>
        <v>65051279.999999993</v>
      </c>
      <c r="AB4" s="137"/>
      <c r="AC4" s="137"/>
      <c r="AD4" s="137"/>
    </row>
    <row r="5" spans="1:30" ht="15.75" thickBot="1" x14ac:dyDescent="0.3">
      <c r="A5" s="51" t="s">
        <v>5</v>
      </c>
      <c r="B5" s="50"/>
      <c r="C5" s="4">
        <v>871.97299944296981</v>
      </c>
      <c r="F5" s="51" t="s">
        <v>5</v>
      </c>
      <c r="G5" s="50"/>
      <c r="H5" s="4">
        <v>2173.9499999999998</v>
      </c>
      <c r="K5" s="51" t="s">
        <v>5</v>
      </c>
      <c r="L5" s="50"/>
      <c r="M5" s="4">
        <v>1783.3568998328906</v>
      </c>
    </row>
    <row r="6" spans="1:30" ht="15.75" thickBot="1" x14ac:dyDescent="0.3">
      <c r="A6" s="51" t="s">
        <v>6</v>
      </c>
      <c r="B6" s="50"/>
      <c r="C6" s="5">
        <v>134619.72999442971</v>
      </c>
      <c r="F6" s="51" t="s">
        <v>6</v>
      </c>
      <c r="G6" s="50"/>
      <c r="H6" s="5">
        <v>267639</v>
      </c>
      <c r="K6" s="51" t="s">
        <v>6</v>
      </c>
      <c r="L6" s="50"/>
      <c r="M6" s="4">
        <v>227733.2189983289</v>
      </c>
      <c r="P6" s="120"/>
    </row>
    <row r="7" spans="1:30" x14ac:dyDescent="0.25">
      <c r="A7" s="56" t="s">
        <v>7</v>
      </c>
      <c r="B7" s="57"/>
      <c r="C7" s="6">
        <v>37.394369442897144</v>
      </c>
      <c r="F7" s="56" t="s">
        <v>7</v>
      </c>
      <c r="G7" s="57"/>
      <c r="H7" s="6">
        <v>74.34</v>
      </c>
      <c r="I7">
        <v>3600.2017756255041</v>
      </c>
      <c r="K7" s="56" t="s">
        <v>7</v>
      </c>
      <c r="L7" s="57"/>
      <c r="M7" s="4">
        <v>63.256310832869147</v>
      </c>
    </row>
    <row r="8" spans="1:30" x14ac:dyDescent="0.25">
      <c r="A8" s="51" t="s">
        <v>8</v>
      </c>
      <c r="B8" s="50"/>
      <c r="C8" s="5">
        <v>218.75</v>
      </c>
      <c r="F8" s="51" t="s">
        <v>8</v>
      </c>
      <c r="G8" s="50"/>
      <c r="H8" s="5">
        <v>218.75</v>
      </c>
      <c r="K8" s="51" t="s">
        <v>8</v>
      </c>
      <c r="L8" s="50"/>
      <c r="M8" s="4">
        <v>218.75</v>
      </c>
    </row>
    <row r="9" spans="1:30" x14ac:dyDescent="0.25">
      <c r="A9" s="56" t="s">
        <v>9</v>
      </c>
      <c r="B9" s="57"/>
      <c r="C9" s="6">
        <v>6</v>
      </c>
      <c r="F9" s="56" t="s">
        <v>9</v>
      </c>
      <c r="G9" s="57"/>
      <c r="H9" s="6">
        <v>12</v>
      </c>
      <c r="K9" s="56" t="s">
        <v>9</v>
      </c>
      <c r="L9" s="57"/>
      <c r="M9" s="4">
        <v>10.199999999999999</v>
      </c>
    </row>
    <row r="10" spans="1:30" x14ac:dyDescent="0.25">
      <c r="A10" s="51" t="s">
        <v>10</v>
      </c>
      <c r="B10" s="50"/>
      <c r="C10" s="7">
        <v>10906.691087511666</v>
      </c>
      <c r="F10" s="51" t="s">
        <v>10</v>
      </c>
      <c r="G10" s="50"/>
      <c r="H10" s="7">
        <v>21683.759999999998</v>
      </c>
      <c r="K10" s="51" t="s">
        <v>10</v>
      </c>
      <c r="L10" s="50"/>
      <c r="M10" s="4">
        <v>18450.639326253498</v>
      </c>
    </row>
    <row r="11" spans="1:30" ht="15.75" thickBot="1" x14ac:dyDescent="0.3">
      <c r="A11" s="8" t="s">
        <v>12</v>
      </c>
      <c r="B11" s="8"/>
      <c r="C11" s="8">
        <v>32720073.262534998</v>
      </c>
      <c r="F11" s="54" t="s">
        <v>11</v>
      </c>
      <c r="G11" s="55"/>
      <c r="H11" s="143">
        <v>65051279.999999993</v>
      </c>
      <c r="K11" s="47" t="s">
        <v>13</v>
      </c>
      <c r="L11" s="48"/>
      <c r="M11" s="4">
        <v>55351917.978760496</v>
      </c>
    </row>
    <row r="12" spans="1:30" x14ac:dyDescent="0.25">
      <c r="J12">
        <v>9699362.0212394968</v>
      </c>
    </row>
    <row r="13" spans="1:30" s="10" customFormat="1" ht="15.75" thickBot="1" x14ac:dyDescent="0.3"/>
    <row r="14" spans="1:30" ht="19.5" thickBot="1" x14ac:dyDescent="0.35">
      <c r="C14" s="23" t="s">
        <v>14</v>
      </c>
      <c r="D14" s="24"/>
      <c r="E14" s="24"/>
      <c r="F14" s="24"/>
      <c r="G14" s="24"/>
      <c r="H14" s="24"/>
      <c r="I14" s="38"/>
    </row>
    <row r="15" spans="1:30" ht="15.75" thickBot="1" x14ac:dyDescent="0.3">
      <c r="A15" s="1"/>
    </row>
    <row r="16" spans="1:30" ht="21" x14ac:dyDescent="0.35">
      <c r="A16" s="162" t="s">
        <v>15</v>
      </c>
      <c r="B16" s="163"/>
      <c r="C16" s="164"/>
      <c r="F16" s="169" t="s">
        <v>16</v>
      </c>
      <c r="G16" s="170"/>
      <c r="H16" s="171"/>
      <c r="K16" s="162" t="s">
        <v>84</v>
      </c>
      <c r="L16" s="163"/>
      <c r="M16" s="164"/>
      <c r="P16" s="156" t="s">
        <v>89</v>
      </c>
      <c r="Q16" s="157"/>
      <c r="R16" s="158"/>
      <c r="S16" s="153">
        <v>106906062.48</v>
      </c>
      <c r="T16" s="154"/>
      <c r="U16" s="154"/>
      <c r="V16" s="155"/>
    </row>
    <row r="17" spans="1:22" ht="21" x14ac:dyDescent="0.35">
      <c r="A17" s="52" t="s">
        <v>3</v>
      </c>
      <c r="B17" s="53"/>
      <c r="C17" s="2">
        <v>6000</v>
      </c>
      <c r="F17" s="172" t="s">
        <v>92</v>
      </c>
      <c r="G17" s="173"/>
      <c r="H17" s="2">
        <v>6000</v>
      </c>
      <c r="K17" s="51" t="s">
        <v>5</v>
      </c>
      <c r="L17" s="50"/>
      <c r="M17" s="2">
        <v>6000</v>
      </c>
      <c r="P17" s="150" t="s">
        <v>90</v>
      </c>
      <c r="Q17" s="151"/>
      <c r="R17" s="152"/>
      <c r="S17" s="147">
        <v>65111541.600000001</v>
      </c>
      <c r="T17" s="148"/>
      <c r="U17" s="148"/>
      <c r="V17" s="149"/>
    </row>
    <row r="18" spans="1:22" ht="21.75" thickBot="1" x14ac:dyDescent="0.4">
      <c r="A18" s="51" t="s">
        <v>5</v>
      </c>
      <c r="B18" s="50"/>
      <c r="C18" s="4">
        <v>1608.748</v>
      </c>
      <c r="F18" s="51" t="s">
        <v>17</v>
      </c>
      <c r="G18" s="50"/>
      <c r="H18" s="4">
        <v>2608.7489</v>
      </c>
      <c r="K18" s="51" t="s">
        <v>17</v>
      </c>
      <c r="L18" s="50"/>
      <c r="M18" s="5">
        <v>2258.7485850000003</v>
      </c>
      <c r="P18" s="177" t="s">
        <v>88</v>
      </c>
      <c r="Q18" s="178"/>
      <c r="R18" s="179"/>
      <c r="S18" s="174">
        <v>41794520.880000003</v>
      </c>
      <c r="T18" s="175"/>
      <c r="U18" s="175"/>
      <c r="V18" s="176"/>
    </row>
    <row r="19" spans="1:22" x14ac:dyDescent="0.25">
      <c r="A19" s="51" t="s">
        <v>6</v>
      </c>
      <c r="B19" s="50"/>
      <c r="C19" s="5">
        <v>267887.48499999999</v>
      </c>
      <c r="F19" s="51" t="s">
        <v>6</v>
      </c>
      <c r="G19" s="50"/>
      <c r="H19" s="5">
        <v>513539</v>
      </c>
      <c r="K19" s="51" t="s">
        <v>6</v>
      </c>
      <c r="L19" s="50"/>
      <c r="M19" s="5">
        <v>274387.48499999999</v>
      </c>
    </row>
    <row r="20" spans="1:22" x14ac:dyDescent="0.25">
      <c r="A20" s="56" t="s">
        <v>7</v>
      </c>
      <c r="B20" s="57"/>
      <c r="C20" s="6">
        <v>74.41319</v>
      </c>
      <c r="F20" s="56" t="s">
        <v>7</v>
      </c>
      <c r="G20" s="57"/>
      <c r="H20" s="6">
        <v>142.63999999999999</v>
      </c>
      <c r="K20" s="56" t="s">
        <v>7</v>
      </c>
      <c r="L20" s="57"/>
      <c r="M20" s="6">
        <v>76.218745699999999</v>
      </c>
    </row>
    <row r="21" spans="1:22" x14ac:dyDescent="0.25">
      <c r="A21" s="51" t="s">
        <v>8</v>
      </c>
      <c r="B21" s="50"/>
      <c r="C21" s="5">
        <v>218</v>
      </c>
      <c r="F21" s="51" t="s">
        <v>8</v>
      </c>
      <c r="G21" s="50"/>
      <c r="H21" s="5">
        <v>218</v>
      </c>
      <c r="K21" s="51" t="s">
        <v>8</v>
      </c>
      <c r="L21" s="50"/>
      <c r="M21" s="5">
        <v>218</v>
      </c>
    </row>
    <row r="22" spans="1:22" x14ac:dyDescent="0.25">
      <c r="A22" s="56" t="s">
        <v>9</v>
      </c>
      <c r="B22" s="57"/>
      <c r="C22" s="6">
        <v>11</v>
      </c>
      <c r="F22" s="56" t="s">
        <v>9</v>
      </c>
      <c r="G22" s="57"/>
      <c r="H22" s="6">
        <v>23</v>
      </c>
      <c r="K22" s="56" t="s">
        <v>9</v>
      </c>
      <c r="L22" s="57"/>
      <c r="M22" s="6">
        <v>12</v>
      </c>
    </row>
    <row r="23" spans="1:22" x14ac:dyDescent="0.25">
      <c r="A23" s="51" t="s">
        <v>10</v>
      </c>
      <c r="B23" s="50"/>
      <c r="C23" s="7">
        <v>21703.8472</v>
      </c>
      <c r="F23" s="51" t="s">
        <v>10</v>
      </c>
      <c r="G23" s="50"/>
      <c r="H23" s="7">
        <v>41606</v>
      </c>
      <c r="K23" s="51" t="s">
        <v>18</v>
      </c>
      <c r="L23" s="50"/>
      <c r="M23" s="11">
        <v>35635.354160000003</v>
      </c>
    </row>
    <row r="24" spans="1:22" ht="15.75" thickBot="1" x14ac:dyDescent="0.3">
      <c r="A24" s="12" t="s">
        <v>19</v>
      </c>
      <c r="B24" s="13"/>
      <c r="C24" s="9">
        <v>65111541.600000001</v>
      </c>
      <c r="F24" s="14" t="s">
        <v>20</v>
      </c>
      <c r="G24" s="15"/>
      <c r="H24" s="9">
        <v>124818000</v>
      </c>
      <c r="K24" s="47" t="s">
        <v>11</v>
      </c>
      <c r="L24" s="48"/>
      <c r="M24" s="9">
        <v>106906062.48</v>
      </c>
    </row>
    <row r="25" spans="1:22" x14ac:dyDescent="0.25">
      <c r="A25" s="1"/>
    </row>
    <row r="26" spans="1:22" x14ac:dyDescent="0.25">
      <c r="A26" s="1"/>
    </row>
    <row r="29" spans="1:22" s="10" customFormat="1" x14ac:dyDescent="0.25"/>
    <row r="31" spans="1:22" ht="15.75" thickBot="1" x14ac:dyDescent="0.3">
      <c r="A31" s="1"/>
    </row>
    <row r="32" spans="1:22" ht="19.5" thickBot="1" x14ac:dyDescent="0.35">
      <c r="A32" s="1"/>
      <c r="C32" s="23" t="s">
        <v>21</v>
      </c>
      <c r="D32" s="24"/>
      <c r="E32" s="24"/>
      <c r="F32" s="24"/>
      <c r="G32" s="24"/>
      <c r="H32" s="24"/>
      <c r="I32" s="38"/>
    </row>
    <row r="33" spans="1:23" x14ac:dyDescent="0.25">
      <c r="A33" s="1"/>
    </row>
    <row r="34" spans="1:23" ht="15.75" thickBot="1" x14ac:dyDescent="0.3">
      <c r="A34" s="1"/>
    </row>
    <row r="35" spans="1:23" ht="21" x14ac:dyDescent="0.35">
      <c r="A35" s="162" t="s">
        <v>22</v>
      </c>
      <c r="B35" s="163"/>
      <c r="C35" s="164"/>
      <c r="F35" s="162" t="s">
        <v>23</v>
      </c>
      <c r="G35" s="163"/>
      <c r="H35" s="164"/>
      <c r="K35" s="180" t="s">
        <v>84</v>
      </c>
      <c r="L35" s="181"/>
      <c r="M35" s="182"/>
      <c r="Q35" s="156" t="s">
        <v>89</v>
      </c>
      <c r="R35" s="157"/>
      <c r="S35" s="158"/>
      <c r="T35" s="153">
        <v>183237051</v>
      </c>
      <c r="U35" s="154"/>
      <c r="V35" s="154"/>
      <c r="W35" s="155"/>
    </row>
    <row r="36" spans="1:23" ht="21" x14ac:dyDescent="0.35">
      <c r="A36" s="52" t="s">
        <v>3</v>
      </c>
      <c r="B36" s="53"/>
      <c r="C36" s="2">
        <v>10500</v>
      </c>
      <c r="F36" s="52" t="s">
        <v>3</v>
      </c>
      <c r="G36" s="53"/>
      <c r="H36" s="2">
        <v>10500</v>
      </c>
      <c r="K36" s="183" t="s">
        <v>3</v>
      </c>
      <c r="L36" s="53"/>
      <c r="M36" s="16">
        <v>10500</v>
      </c>
      <c r="Q36" s="150" t="s">
        <v>90</v>
      </c>
      <c r="R36" s="151"/>
      <c r="S36" s="152"/>
      <c r="T36" s="147">
        <v>110360940.00000001</v>
      </c>
      <c r="U36" s="148"/>
      <c r="V36" s="148"/>
      <c r="W36" s="149"/>
    </row>
    <row r="37" spans="1:23" ht="21.75" thickBot="1" x14ac:dyDescent="0.4">
      <c r="A37" s="51" t="s">
        <v>5</v>
      </c>
      <c r="B37" s="50"/>
      <c r="C37" s="4">
        <v>1340.623</v>
      </c>
      <c r="F37" s="51" t="s">
        <v>17</v>
      </c>
      <c r="G37" s="50"/>
      <c r="H37" s="5">
        <v>2173.9</v>
      </c>
      <c r="K37" s="49" t="s">
        <v>17</v>
      </c>
      <c r="L37" s="50"/>
      <c r="M37" s="8">
        <v>1840.5892000000001</v>
      </c>
      <c r="Q37" s="177" t="s">
        <v>88</v>
      </c>
      <c r="R37" s="178"/>
      <c r="S37" s="179"/>
      <c r="T37" s="174">
        <v>72876110.999999985</v>
      </c>
      <c r="U37" s="175"/>
      <c r="V37" s="175"/>
      <c r="W37" s="176"/>
    </row>
    <row r="38" spans="1:23" x14ac:dyDescent="0.25">
      <c r="A38" s="51" t="s">
        <v>6</v>
      </c>
      <c r="B38" s="50"/>
      <c r="C38" s="5">
        <v>454056.23</v>
      </c>
      <c r="F38" s="51" t="s">
        <v>6</v>
      </c>
      <c r="G38" s="50"/>
      <c r="H38" s="5">
        <v>882389.5</v>
      </c>
      <c r="I38">
        <v>210000</v>
      </c>
      <c r="K38" s="49" t="s">
        <v>6</v>
      </c>
      <c r="L38" s="50"/>
      <c r="M38" s="8">
        <v>711056.19200000004</v>
      </c>
    </row>
    <row r="39" spans="1:23" x14ac:dyDescent="0.25">
      <c r="A39" s="56" t="s">
        <v>7</v>
      </c>
      <c r="B39" s="57"/>
      <c r="C39" s="6">
        <v>126.8715</v>
      </c>
      <c r="F39" s="56" t="s">
        <v>7</v>
      </c>
      <c r="G39" s="57"/>
      <c r="H39" s="6">
        <v>245.1</v>
      </c>
      <c r="K39" s="184" t="s">
        <v>7</v>
      </c>
      <c r="L39" s="57"/>
      <c r="M39" s="17">
        <v>197.80860000000001</v>
      </c>
    </row>
    <row r="40" spans="1:23" x14ac:dyDescent="0.25">
      <c r="A40" s="51" t="s">
        <v>8</v>
      </c>
      <c r="B40" s="50"/>
      <c r="C40" s="5">
        <v>218</v>
      </c>
      <c r="F40" s="51" t="s">
        <v>8</v>
      </c>
      <c r="G40" s="50"/>
      <c r="H40" s="5">
        <v>218</v>
      </c>
      <c r="K40" s="49" t="s">
        <v>8</v>
      </c>
      <c r="L40" s="50"/>
      <c r="M40" s="8">
        <v>218</v>
      </c>
    </row>
    <row r="41" spans="1:23" x14ac:dyDescent="0.25">
      <c r="A41" s="56" t="s">
        <v>9</v>
      </c>
      <c r="B41" s="57"/>
      <c r="C41" s="6">
        <v>21</v>
      </c>
      <c r="F41" s="56" t="s">
        <v>9</v>
      </c>
      <c r="G41" s="57"/>
      <c r="H41" s="6">
        <v>40</v>
      </c>
      <c r="K41" s="184" t="s">
        <v>9</v>
      </c>
      <c r="L41" s="57"/>
      <c r="M41" s="17">
        <v>32.4</v>
      </c>
    </row>
    <row r="42" spans="1:23" ht="15.75" customHeight="1" thickBot="1" x14ac:dyDescent="0.3">
      <c r="A42" s="51" t="s">
        <v>10</v>
      </c>
      <c r="B42" s="50"/>
      <c r="C42" s="18">
        <v>36786.980000000003</v>
      </c>
      <c r="F42" s="51" t="s">
        <v>10</v>
      </c>
      <c r="G42" s="50"/>
      <c r="H42" s="11">
        <v>71489.89</v>
      </c>
      <c r="K42" s="49" t="s">
        <v>10</v>
      </c>
      <c r="L42" s="50"/>
      <c r="M42" s="119">
        <v>61079.017</v>
      </c>
    </row>
    <row r="43" spans="1:23" ht="15.75" customHeight="1" thickBot="1" x14ac:dyDescent="0.3">
      <c r="A43" s="54" t="s">
        <v>19</v>
      </c>
      <c r="B43" s="55"/>
      <c r="C43" s="19">
        <v>110360940.00000001</v>
      </c>
      <c r="F43" s="47" t="s">
        <v>11</v>
      </c>
      <c r="G43" s="48"/>
      <c r="H43" s="9">
        <v>214469670</v>
      </c>
      <c r="K43" s="49" t="s">
        <v>11</v>
      </c>
      <c r="L43" s="50"/>
      <c r="M43" s="8">
        <v>183237051</v>
      </c>
    </row>
    <row r="44" spans="1:23" ht="15" customHeight="1" x14ac:dyDescent="0.25">
      <c r="A44" s="1"/>
    </row>
    <row r="45" spans="1:23" x14ac:dyDescent="0.25">
      <c r="A45" s="1"/>
    </row>
    <row r="46" spans="1:23" s="10" customFormat="1" x14ac:dyDescent="0.25"/>
    <row r="49" spans="1:23" ht="15.75" thickBot="1" x14ac:dyDescent="0.3">
      <c r="A49" s="1"/>
      <c r="K49">
        <v>17.486111111111111</v>
      </c>
    </row>
    <row r="50" spans="1:23" ht="19.5" thickBot="1" x14ac:dyDescent="0.35">
      <c r="A50" s="1"/>
      <c r="C50" s="23" t="s">
        <v>24</v>
      </c>
      <c r="D50" s="24"/>
      <c r="E50" s="24"/>
      <c r="F50" s="24"/>
      <c r="G50" s="24"/>
      <c r="H50" s="24"/>
      <c r="I50" s="38"/>
    </row>
    <row r="51" spans="1:23" x14ac:dyDescent="0.25">
      <c r="A51" s="1"/>
    </row>
    <row r="52" spans="1:23" ht="15.75" thickBot="1" x14ac:dyDescent="0.3">
      <c r="A52" s="1"/>
    </row>
    <row r="53" spans="1:23" ht="21" x14ac:dyDescent="0.35">
      <c r="A53" s="162" t="s">
        <v>25</v>
      </c>
      <c r="B53" s="163"/>
      <c r="C53" s="164"/>
      <c r="F53" s="162" t="s">
        <v>26</v>
      </c>
      <c r="G53" s="163"/>
      <c r="H53" s="164"/>
      <c r="K53" s="162" t="s">
        <v>86</v>
      </c>
      <c r="L53" s="163"/>
      <c r="M53" s="164"/>
      <c r="Q53" s="156" t="s">
        <v>89</v>
      </c>
      <c r="R53" s="157"/>
      <c r="S53" s="158"/>
      <c r="T53" s="153">
        <v>29516175</v>
      </c>
      <c r="U53" s="154"/>
      <c r="V53" s="154"/>
      <c r="W53" s="155"/>
    </row>
    <row r="54" spans="1:23" ht="21" x14ac:dyDescent="0.35">
      <c r="A54" s="52" t="s">
        <v>3</v>
      </c>
      <c r="B54" s="53"/>
      <c r="C54" s="2">
        <v>1500</v>
      </c>
      <c r="F54" s="52" t="s">
        <v>3</v>
      </c>
      <c r="G54" s="53"/>
      <c r="H54" s="2">
        <v>1500</v>
      </c>
      <c r="K54" s="52" t="s">
        <v>3</v>
      </c>
      <c r="L54" s="53"/>
      <c r="M54" s="2">
        <v>1500</v>
      </c>
      <c r="Q54" s="150" t="s">
        <v>90</v>
      </c>
      <c r="R54" s="151"/>
      <c r="S54" s="152"/>
      <c r="T54" s="147">
        <v>16329540</v>
      </c>
      <c r="U54" s="148"/>
      <c r="V54" s="148"/>
      <c r="W54" s="149"/>
    </row>
    <row r="55" spans="1:23" ht="21.75" thickBot="1" x14ac:dyDescent="0.4">
      <c r="A55" s="51" t="s">
        <v>5</v>
      </c>
      <c r="B55" s="50"/>
      <c r="C55" s="4">
        <v>423</v>
      </c>
      <c r="D55" t="s">
        <v>27</v>
      </c>
      <c r="F55" s="51" t="s">
        <v>5</v>
      </c>
      <c r="G55" s="50"/>
      <c r="H55" s="4">
        <v>2173.9499999999998</v>
      </c>
      <c r="K55" s="51" t="s">
        <v>5</v>
      </c>
      <c r="L55" s="50"/>
      <c r="M55" s="4">
        <v>1561.1174999999998</v>
      </c>
      <c r="Q55" s="177" t="s">
        <v>88</v>
      </c>
      <c r="R55" s="178"/>
      <c r="S55" s="179"/>
      <c r="T55" s="174">
        <v>13186635</v>
      </c>
      <c r="U55" s="175"/>
      <c r="V55" s="175"/>
      <c r="W55" s="176"/>
    </row>
    <row r="56" spans="1:23" x14ac:dyDescent="0.25">
      <c r="A56" s="51" t="s">
        <v>6</v>
      </c>
      <c r="B56" s="50"/>
      <c r="C56" s="5">
        <v>67184</v>
      </c>
      <c r="F56" s="51" t="s">
        <v>6</v>
      </c>
      <c r="G56" s="50"/>
      <c r="H56" s="5">
        <v>144689.57</v>
      </c>
      <c r="K56" s="51" t="s">
        <v>6</v>
      </c>
      <c r="L56" s="50"/>
      <c r="M56" s="4">
        <v>117562.6205</v>
      </c>
    </row>
    <row r="57" spans="1:23" x14ac:dyDescent="0.25">
      <c r="A57" s="56" t="s">
        <v>7</v>
      </c>
      <c r="B57" s="57"/>
      <c r="C57" s="6">
        <v>18.66</v>
      </c>
      <c r="F57" s="56" t="s">
        <v>7</v>
      </c>
      <c r="G57" s="57"/>
      <c r="H57" s="6">
        <v>40.19</v>
      </c>
      <c r="K57" s="56" t="s">
        <v>7</v>
      </c>
      <c r="L57" s="57"/>
      <c r="M57" s="4">
        <v>32.654499999999999</v>
      </c>
    </row>
    <row r="58" spans="1:23" x14ac:dyDescent="0.25">
      <c r="A58" s="51" t="s">
        <v>8</v>
      </c>
      <c r="B58" s="50"/>
      <c r="C58" s="5">
        <v>218</v>
      </c>
      <c r="F58" s="51" t="s">
        <v>8</v>
      </c>
      <c r="G58" s="50"/>
      <c r="H58" s="5">
        <v>218</v>
      </c>
      <c r="K58" s="51" t="s">
        <v>8</v>
      </c>
      <c r="L58" s="50"/>
      <c r="M58" s="4">
        <v>218</v>
      </c>
    </row>
    <row r="59" spans="1:23" x14ac:dyDescent="0.25">
      <c r="A59" s="56" t="s">
        <v>9</v>
      </c>
      <c r="B59" s="57"/>
      <c r="C59" s="6">
        <v>3</v>
      </c>
      <c r="F59" s="56" t="s">
        <v>9</v>
      </c>
      <c r="G59" s="57"/>
      <c r="H59" s="6">
        <v>6.6</v>
      </c>
      <c r="K59" s="56" t="s">
        <v>9</v>
      </c>
      <c r="L59" s="57"/>
      <c r="M59" s="4">
        <v>4</v>
      </c>
    </row>
    <row r="60" spans="1:23" ht="15.75" thickBot="1" x14ac:dyDescent="0.3">
      <c r="A60" s="51" t="s">
        <v>10</v>
      </c>
      <c r="B60" s="50"/>
      <c r="C60" s="20">
        <v>5443.18</v>
      </c>
      <c r="F60" s="51" t="s">
        <v>10</v>
      </c>
      <c r="G60" s="50"/>
      <c r="H60" s="7">
        <v>11722.53</v>
      </c>
      <c r="K60" s="51" t="s">
        <v>10</v>
      </c>
      <c r="L60" s="50"/>
      <c r="M60" s="4">
        <v>9838.7250000000004</v>
      </c>
    </row>
    <row r="61" spans="1:23" ht="15.75" thickBot="1" x14ac:dyDescent="0.3">
      <c r="A61" s="54" t="s">
        <v>19</v>
      </c>
      <c r="B61" s="55"/>
      <c r="C61" s="19">
        <v>16329540</v>
      </c>
      <c r="F61" s="47" t="s">
        <v>11</v>
      </c>
      <c r="G61" s="48"/>
      <c r="H61" s="9">
        <v>35167590</v>
      </c>
      <c r="K61" s="21" t="s">
        <v>87</v>
      </c>
      <c r="L61" s="13"/>
      <c r="M61" s="22">
        <v>29516175</v>
      </c>
    </row>
    <row r="63" spans="1:23" x14ac:dyDescent="0.25">
      <c r="K63">
        <v>13186635</v>
      </c>
    </row>
    <row r="67" spans="1:23" s="10" customFormat="1" x14ac:dyDescent="0.25"/>
    <row r="71" spans="1:23" ht="15.75" thickBot="1" x14ac:dyDescent="0.3">
      <c r="A71" s="1"/>
      <c r="K71">
        <v>17.486111111111111</v>
      </c>
    </row>
    <row r="72" spans="1:23" ht="19.5" thickBot="1" x14ac:dyDescent="0.35">
      <c r="A72" s="1"/>
      <c r="C72" s="23" t="s">
        <v>83</v>
      </c>
      <c r="D72" s="24"/>
      <c r="E72" s="24"/>
      <c r="F72" s="24"/>
      <c r="G72" s="24"/>
      <c r="H72" s="24"/>
      <c r="I72" s="38"/>
    </row>
    <row r="73" spans="1:23" x14ac:dyDescent="0.25">
      <c r="A73" s="1"/>
    </row>
    <row r="74" spans="1:23" ht="15.75" thickBot="1" x14ac:dyDescent="0.3">
      <c r="A74" s="1"/>
    </row>
    <row r="75" spans="1:23" ht="21" x14ac:dyDescent="0.35">
      <c r="A75" s="162" t="s">
        <v>28</v>
      </c>
      <c r="B75" s="163"/>
      <c r="C75" s="164"/>
      <c r="F75" s="162" t="s">
        <v>29</v>
      </c>
      <c r="G75" s="163"/>
      <c r="H75" s="164"/>
      <c r="K75" s="162" t="s">
        <v>86</v>
      </c>
      <c r="L75" s="163"/>
      <c r="M75" s="164"/>
      <c r="Q75" s="156" t="s">
        <v>89</v>
      </c>
      <c r="R75" s="157"/>
      <c r="S75" s="158"/>
      <c r="T75" s="153">
        <v>15798356.42835</v>
      </c>
      <c r="U75" s="154"/>
      <c r="V75" s="154"/>
      <c r="W75" s="155"/>
    </row>
    <row r="76" spans="1:23" ht="21" x14ac:dyDescent="0.35">
      <c r="A76" s="52" t="s">
        <v>3</v>
      </c>
      <c r="B76" s="53"/>
      <c r="C76" s="2">
        <v>600</v>
      </c>
      <c r="F76" s="52" t="s">
        <v>3</v>
      </c>
      <c r="G76" s="53"/>
      <c r="H76" s="2">
        <v>600</v>
      </c>
      <c r="K76" s="52" t="s">
        <v>3</v>
      </c>
      <c r="L76" s="53"/>
      <c r="M76" s="2">
        <v>600</v>
      </c>
      <c r="Q76" s="150" t="s">
        <v>90</v>
      </c>
      <c r="R76" s="151"/>
      <c r="S76" s="152"/>
      <c r="T76" s="147">
        <v>6910230</v>
      </c>
      <c r="U76" s="148"/>
      <c r="V76" s="148"/>
      <c r="W76" s="149"/>
    </row>
    <row r="77" spans="1:23" ht="21.75" thickBot="1" x14ac:dyDescent="0.4">
      <c r="A77" s="51" t="s">
        <v>5</v>
      </c>
      <c r="B77" s="50"/>
      <c r="C77" s="4">
        <v>325</v>
      </c>
      <c r="D77" t="s">
        <v>27</v>
      </c>
      <c r="F77" s="51" t="s">
        <v>5</v>
      </c>
      <c r="G77" s="50"/>
      <c r="H77" s="4">
        <v>2173.9499999999998</v>
      </c>
      <c r="K77" s="51" t="s">
        <v>5</v>
      </c>
      <c r="L77" s="50"/>
      <c r="M77" s="4">
        <v>1341.9225000000001</v>
      </c>
      <c r="Q77" s="177" t="s">
        <v>88</v>
      </c>
      <c r="R77" s="178"/>
      <c r="S77" s="179"/>
      <c r="T77" s="174">
        <v>8888126.4283499997</v>
      </c>
      <c r="U77" s="175"/>
      <c r="V77" s="175"/>
      <c r="W77" s="176"/>
    </row>
    <row r="78" spans="1:23" x14ac:dyDescent="0.25">
      <c r="A78" s="51" t="s">
        <v>6</v>
      </c>
      <c r="B78" s="50"/>
      <c r="C78" s="5">
        <v>28430.7</v>
      </c>
      <c r="F78" s="51" t="s">
        <v>6</v>
      </c>
      <c r="G78" s="50"/>
      <c r="H78" s="5">
        <v>70919.57071</v>
      </c>
      <c r="K78" s="51" t="s">
        <v>6</v>
      </c>
      <c r="L78" s="50"/>
      <c r="M78" s="4">
        <v>51799.578890500008</v>
      </c>
    </row>
    <row r="79" spans="1:23" x14ac:dyDescent="0.25">
      <c r="A79" s="56" t="s">
        <v>7</v>
      </c>
      <c r="B79" s="57"/>
      <c r="C79" s="6">
        <v>7.8970000000000002</v>
      </c>
      <c r="F79" s="56" t="s">
        <v>7</v>
      </c>
      <c r="G79" s="57"/>
      <c r="H79" s="6">
        <v>19.690000000000001</v>
      </c>
      <c r="K79" s="56" t="s">
        <v>7</v>
      </c>
      <c r="L79" s="57"/>
      <c r="M79" s="4">
        <v>14.383150000000001</v>
      </c>
    </row>
    <row r="80" spans="1:23" x14ac:dyDescent="0.25">
      <c r="A80" s="51" t="s">
        <v>8</v>
      </c>
      <c r="B80" s="50"/>
      <c r="C80" s="5">
        <v>218</v>
      </c>
      <c r="F80" s="51" t="s">
        <v>8</v>
      </c>
      <c r="G80" s="50"/>
      <c r="H80" s="5">
        <v>218</v>
      </c>
      <c r="K80" s="51" t="s">
        <v>8</v>
      </c>
      <c r="L80" s="50"/>
      <c r="M80" s="4">
        <v>218</v>
      </c>
    </row>
    <row r="81" spans="1:13" x14ac:dyDescent="0.25">
      <c r="A81" s="56" t="s">
        <v>9</v>
      </c>
      <c r="B81" s="57"/>
      <c r="C81" s="6">
        <v>2</v>
      </c>
      <c r="F81" s="56" t="s">
        <v>9</v>
      </c>
      <c r="G81" s="57"/>
      <c r="H81" s="6">
        <v>4</v>
      </c>
      <c r="K81" s="56" t="s">
        <v>9</v>
      </c>
      <c r="L81" s="57"/>
      <c r="M81" s="4">
        <v>3.1</v>
      </c>
    </row>
    <row r="82" spans="1:13" ht="15.75" thickBot="1" x14ac:dyDescent="0.3">
      <c r="A82" s="51" t="s">
        <v>10</v>
      </c>
      <c r="B82" s="50"/>
      <c r="C82" s="20">
        <v>2303.41</v>
      </c>
      <c r="F82" s="51" t="s">
        <v>10</v>
      </c>
      <c r="G82" s="50"/>
      <c r="H82" s="7">
        <v>6861.4235529999996</v>
      </c>
      <c r="K82" s="51" t="s">
        <v>10</v>
      </c>
      <c r="L82" s="50"/>
      <c r="M82" s="4">
        <v>5266.1188094499994</v>
      </c>
    </row>
    <row r="83" spans="1:13" ht="15.75" thickBot="1" x14ac:dyDescent="0.3">
      <c r="A83" s="54" t="s">
        <v>19</v>
      </c>
      <c r="B83" s="55"/>
      <c r="C83" s="19">
        <v>6910230</v>
      </c>
      <c r="F83" s="47" t="s">
        <v>11</v>
      </c>
      <c r="G83" s="48"/>
      <c r="H83" s="9">
        <v>20584270.658999998</v>
      </c>
      <c r="K83" s="21" t="s">
        <v>87</v>
      </c>
      <c r="L83" s="13"/>
      <c r="M83" s="4">
        <v>15798356.42835</v>
      </c>
    </row>
    <row r="87" spans="1:13" x14ac:dyDescent="0.25">
      <c r="J87">
        <v>8888126.4283499997</v>
      </c>
    </row>
  </sheetData>
  <mergeCells count="175">
    <mergeCell ref="A83:B83"/>
    <mergeCell ref="F83:G83"/>
    <mergeCell ref="A81:B81"/>
    <mergeCell ref="F81:G81"/>
    <mergeCell ref="K81:L81"/>
    <mergeCell ref="A82:B82"/>
    <mergeCell ref="F82:G82"/>
    <mergeCell ref="K82:L82"/>
    <mergeCell ref="A79:B79"/>
    <mergeCell ref="F79:G79"/>
    <mergeCell ref="K79:L79"/>
    <mergeCell ref="A80:B80"/>
    <mergeCell ref="F80:G80"/>
    <mergeCell ref="K80:L80"/>
    <mergeCell ref="A77:B77"/>
    <mergeCell ref="F77:G77"/>
    <mergeCell ref="K77:L77"/>
    <mergeCell ref="Q77:S77"/>
    <mergeCell ref="T77:W77"/>
    <mergeCell ref="A78:B78"/>
    <mergeCell ref="F78:G78"/>
    <mergeCell ref="K78:L78"/>
    <mergeCell ref="Q75:S75"/>
    <mergeCell ref="T75:W75"/>
    <mergeCell ref="A76:B76"/>
    <mergeCell ref="F76:G76"/>
    <mergeCell ref="K76:L76"/>
    <mergeCell ref="Q76:S76"/>
    <mergeCell ref="T76:W76"/>
    <mergeCell ref="A61:B61"/>
    <mergeCell ref="F61:G61"/>
    <mergeCell ref="C72:I72"/>
    <mergeCell ref="A75:C75"/>
    <mergeCell ref="F75:H75"/>
    <mergeCell ref="K75:M75"/>
    <mergeCell ref="A59:B59"/>
    <mergeCell ref="F59:G59"/>
    <mergeCell ref="K59:L59"/>
    <mergeCell ref="A60:B60"/>
    <mergeCell ref="F60:G60"/>
    <mergeCell ref="K60:L60"/>
    <mergeCell ref="A57:B57"/>
    <mergeCell ref="F57:G57"/>
    <mergeCell ref="K57:L57"/>
    <mergeCell ref="A58:B58"/>
    <mergeCell ref="F58:G58"/>
    <mergeCell ref="K58:L58"/>
    <mergeCell ref="A55:B55"/>
    <mergeCell ref="F55:G55"/>
    <mergeCell ref="K55:L55"/>
    <mergeCell ref="Q55:S55"/>
    <mergeCell ref="T55:W55"/>
    <mergeCell ref="A56:B56"/>
    <mergeCell ref="F56:G56"/>
    <mergeCell ref="K56:L56"/>
    <mergeCell ref="Q53:S53"/>
    <mergeCell ref="T53:W53"/>
    <mergeCell ref="A54:B54"/>
    <mergeCell ref="F54:G54"/>
    <mergeCell ref="K54:L54"/>
    <mergeCell ref="Q54:S54"/>
    <mergeCell ref="T54:W54"/>
    <mergeCell ref="A43:B43"/>
    <mergeCell ref="F43:G43"/>
    <mergeCell ref="K43:L43"/>
    <mergeCell ref="C50:I50"/>
    <mergeCell ref="A53:C53"/>
    <mergeCell ref="F53:H53"/>
    <mergeCell ref="K53:M53"/>
    <mergeCell ref="A41:B41"/>
    <mergeCell ref="F41:G41"/>
    <mergeCell ref="K41:L41"/>
    <mergeCell ref="A42:B42"/>
    <mergeCell ref="F42:G42"/>
    <mergeCell ref="K42:L42"/>
    <mergeCell ref="A39:B39"/>
    <mergeCell ref="F39:G39"/>
    <mergeCell ref="K39:L39"/>
    <mergeCell ref="A40:B40"/>
    <mergeCell ref="F40:G40"/>
    <mergeCell ref="K40:L40"/>
    <mergeCell ref="A37:B37"/>
    <mergeCell ref="F37:G37"/>
    <mergeCell ref="K37:L37"/>
    <mergeCell ref="Q37:S37"/>
    <mergeCell ref="T37:W37"/>
    <mergeCell ref="A38:B38"/>
    <mergeCell ref="F38:G38"/>
    <mergeCell ref="K38:L38"/>
    <mergeCell ref="T35:W35"/>
    <mergeCell ref="A36:B36"/>
    <mergeCell ref="F36:G36"/>
    <mergeCell ref="K36:L36"/>
    <mergeCell ref="Q36:S36"/>
    <mergeCell ref="T36:W36"/>
    <mergeCell ref="K24:L24"/>
    <mergeCell ref="C32:I32"/>
    <mergeCell ref="A35:C35"/>
    <mergeCell ref="F35:H35"/>
    <mergeCell ref="K35:M35"/>
    <mergeCell ref="Q35:S35"/>
    <mergeCell ref="A22:B22"/>
    <mergeCell ref="F22:G22"/>
    <mergeCell ref="K22:L22"/>
    <mergeCell ref="A23:B23"/>
    <mergeCell ref="F23:G23"/>
    <mergeCell ref="K23:L23"/>
    <mergeCell ref="A20:B20"/>
    <mergeCell ref="F20:G20"/>
    <mergeCell ref="K20:L20"/>
    <mergeCell ref="A21:B21"/>
    <mergeCell ref="F21:G21"/>
    <mergeCell ref="K21:L21"/>
    <mergeCell ref="A18:B18"/>
    <mergeCell ref="F18:G18"/>
    <mergeCell ref="K18:L18"/>
    <mergeCell ref="P18:R18"/>
    <mergeCell ref="S18:V18"/>
    <mergeCell ref="A19:B19"/>
    <mergeCell ref="F19:G19"/>
    <mergeCell ref="K19:L19"/>
    <mergeCell ref="P16:R16"/>
    <mergeCell ref="S16:V16"/>
    <mergeCell ref="A17:B17"/>
    <mergeCell ref="F17:G17"/>
    <mergeCell ref="K17:L17"/>
    <mergeCell ref="P17:R17"/>
    <mergeCell ref="S17:V17"/>
    <mergeCell ref="F11:G11"/>
    <mergeCell ref="K11:L11"/>
    <mergeCell ref="C14:I14"/>
    <mergeCell ref="A16:C16"/>
    <mergeCell ref="F16:H16"/>
    <mergeCell ref="K16:M16"/>
    <mergeCell ref="A9:B9"/>
    <mergeCell ref="F9:G9"/>
    <mergeCell ref="K9:L9"/>
    <mergeCell ref="A10:B10"/>
    <mergeCell ref="F10:G10"/>
    <mergeCell ref="K10:L10"/>
    <mergeCell ref="A7:B7"/>
    <mergeCell ref="F7:G7"/>
    <mergeCell ref="K7:L7"/>
    <mergeCell ref="A8:B8"/>
    <mergeCell ref="F8:G8"/>
    <mergeCell ref="K8:L8"/>
    <mergeCell ref="A5:B5"/>
    <mergeCell ref="F5:G5"/>
    <mergeCell ref="K5:L5"/>
    <mergeCell ref="A6:B6"/>
    <mergeCell ref="F6:G6"/>
    <mergeCell ref="K6:L6"/>
    <mergeCell ref="AA3:AD3"/>
    <mergeCell ref="A4:B4"/>
    <mergeCell ref="F4:G4"/>
    <mergeCell ref="K4:L4"/>
    <mergeCell ref="P4:R4"/>
    <mergeCell ref="S4:V4"/>
    <mergeCell ref="X4:Z4"/>
    <mergeCell ref="AA4:AD4"/>
    <mergeCell ref="A3:C3"/>
    <mergeCell ref="F3:H3"/>
    <mergeCell ref="K3:M3"/>
    <mergeCell ref="P3:R3"/>
    <mergeCell ref="S3:V3"/>
    <mergeCell ref="X3:Z3"/>
    <mergeCell ref="C1:H1"/>
    <mergeCell ref="P1:R1"/>
    <mergeCell ref="S1:V1"/>
    <mergeCell ref="X1:Z1"/>
    <mergeCell ref="AA1:AD1"/>
    <mergeCell ref="P2:R2"/>
    <mergeCell ref="S2:V2"/>
    <mergeCell ref="X2:Z2"/>
    <mergeCell ref="AA2:AD2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BC8CF-114A-4631-8C83-5D2323A06BA8}">
  <dimension ref="A1:AD87"/>
  <sheetViews>
    <sheetView showGridLines="0" topLeftCell="L26" zoomScale="97" workbookViewId="0">
      <selection activeCell="C8" sqref="C8"/>
    </sheetView>
  </sheetViews>
  <sheetFormatPr defaultRowHeight="15" x14ac:dyDescent="0.25"/>
  <cols>
    <col min="1" max="1" width="41.7109375" customWidth="1"/>
    <col min="2" max="2" width="23" customWidth="1"/>
    <col min="3" max="3" width="32.140625" customWidth="1"/>
    <col min="5" max="5" width="21.5703125" customWidth="1"/>
    <col min="6" max="6" width="24.140625" customWidth="1"/>
    <col min="7" max="7" width="14.85546875" customWidth="1"/>
    <col min="8" max="8" width="21.140625" customWidth="1"/>
    <col min="9" max="9" width="17.42578125" customWidth="1"/>
    <col min="10" max="10" width="29.140625" customWidth="1"/>
    <col min="11" max="11" width="21.42578125" customWidth="1"/>
    <col min="13" max="13" width="12" bestFit="1" customWidth="1"/>
    <col min="18" max="18" width="13.85546875" customWidth="1"/>
  </cols>
  <sheetData>
    <row r="1" spans="1:30" ht="21.75" thickBot="1" x14ac:dyDescent="0.4">
      <c r="A1" s="1"/>
      <c r="C1" s="23" t="s">
        <v>0</v>
      </c>
      <c r="D1" s="24"/>
      <c r="E1" s="24"/>
      <c r="F1" s="24"/>
      <c r="G1" s="24"/>
      <c r="H1" s="24"/>
      <c r="P1" s="123" t="s">
        <v>89</v>
      </c>
      <c r="Q1" s="124"/>
      <c r="R1" s="124"/>
      <c r="S1" s="125">
        <f>M11</f>
        <v>55351917.978760496</v>
      </c>
      <c r="T1" s="125"/>
      <c r="U1" s="125"/>
      <c r="V1" s="126"/>
      <c r="X1" s="123" t="s">
        <v>89</v>
      </c>
      <c r="Y1" s="124"/>
      <c r="Z1" s="124"/>
      <c r="AA1" s="125">
        <f>(H11-C11)*0.8+C11</f>
        <v>58585038.652506992</v>
      </c>
      <c r="AB1" s="125"/>
      <c r="AC1" s="125"/>
      <c r="AD1" s="126"/>
    </row>
    <row r="2" spans="1:30" ht="21.75" thickBot="1" x14ac:dyDescent="0.4">
      <c r="A2" s="1"/>
      <c r="P2" s="127" t="s">
        <v>90</v>
      </c>
      <c r="Q2" s="122"/>
      <c r="R2" s="122"/>
      <c r="S2" s="121">
        <f>C11</f>
        <v>32720073.262534998</v>
      </c>
      <c r="T2" s="121"/>
      <c r="U2" s="121"/>
      <c r="V2" s="128"/>
      <c r="X2" s="127" t="s">
        <v>90</v>
      </c>
      <c r="Y2" s="122"/>
      <c r="Z2" s="122"/>
      <c r="AA2" s="121">
        <f>C11</f>
        <v>32720073.262534998</v>
      </c>
      <c r="AB2" s="121"/>
      <c r="AC2" s="121"/>
      <c r="AD2" s="128"/>
    </row>
    <row r="3" spans="1:30" ht="21.75" thickBot="1" x14ac:dyDescent="0.4">
      <c r="A3" s="25" t="s">
        <v>2</v>
      </c>
      <c r="B3" s="26"/>
      <c r="C3" s="27"/>
      <c r="F3" s="25" t="s">
        <v>1</v>
      </c>
      <c r="G3" s="26"/>
      <c r="H3" s="27"/>
      <c r="K3" s="25" t="s">
        <v>85</v>
      </c>
      <c r="L3" s="26"/>
      <c r="M3" s="27"/>
      <c r="P3" s="138" t="s">
        <v>88</v>
      </c>
      <c r="Q3" s="139"/>
      <c r="R3" s="139"/>
      <c r="S3" s="140">
        <f>M11-C11</f>
        <v>22631844.716225497</v>
      </c>
      <c r="T3" s="140"/>
      <c r="U3" s="140"/>
      <c r="V3" s="141"/>
      <c r="X3" s="129" t="s">
        <v>88</v>
      </c>
      <c r="Y3" s="130"/>
      <c r="Z3" s="130"/>
      <c r="AA3" s="131">
        <f>AA1-AA2</f>
        <v>25864965.389971994</v>
      </c>
      <c r="AB3" s="131"/>
      <c r="AC3" s="131"/>
      <c r="AD3" s="132"/>
    </row>
    <row r="4" spans="1:30" ht="21.75" thickBot="1" x14ac:dyDescent="0.4">
      <c r="A4" s="28" t="s">
        <v>4</v>
      </c>
      <c r="B4" s="29"/>
      <c r="C4" s="2">
        <v>3000</v>
      </c>
      <c r="D4" s="3"/>
      <c r="F4" s="28" t="s">
        <v>3</v>
      </c>
      <c r="G4" s="29"/>
      <c r="H4" s="2">
        <v>3000</v>
      </c>
      <c r="K4" s="28" t="s">
        <v>4</v>
      </c>
      <c r="L4" s="29"/>
      <c r="M4" s="2">
        <v>3000</v>
      </c>
      <c r="P4" s="142" t="s">
        <v>91</v>
      </c>
      <c r="Q4" s="142"/>
      <c r="R4" s="142"/>
      <c r="S4" s="121">
        <f>H11</f>
        <v>65051279.999999993</v>
      </c>
      <c r="T4" s="121"/>
      <c r="U4" s="121"/>
      <c r="V4" s="121"/>
      <c r="X4" s="133" t="s">
        <v>91</v>
      </c>
      <c r="Y4" s="134"/>
      <c r="Z4" s="135"/>
      <c r="AA4" s="136">
        <f>H11</f>
        <v>65051279.999999993</v>
      </c>
      <c r="AB4" s="137"/>
      <c r="AC4" s="137"/>
      <c r="AD4" s="137"/>
    </row>
    <row r="5" spans="1:30" ht="15.75" thickBot="1" x14ac:dyDescent="0.3">
      <c r="A5" s="34" t="s">
        <v>5</v>
      </c>
      <c r="B5" s="35"/>
      <c r="C5" s="4">
        <v>871.97299944296981</v>
      </c>
      <c r="F5" s="34" t="s">
        <v>5</v>
      </c>
      <c r="G5" s="35"/>
      <c r="H5" s="4">
        <v>2173.9499999999998</v>
      </c>
      <c r="K5" s="34" t="s">
        <v>5</v>
      </c>
      <c r="L5" s="35"/>
      <c r="M5" s="4">
        <f>(H5-C5)*0.7+C5</f>
        <v>1783.3568998328906</v>
      </c>
    </row>
    <row r="6" spans="1:30" ht="15.75" thickBot="1" x14ac:dyDescent="0.3">
      <c r="A6" s="32" t="s">
        <v>6</v>
      </c>
      <c r="B6" s="33"/>
      <c r="C6" s="5">
        <v>134619.72999442971</v>
      </c>
      <c r="F6" s="32" t="s">
        <v>6</v>
      </c>
      <c r="G6" s="33"/>
      <c r="H6" s="5">
        <v>267639</v>
      </c>
      <c r="K6" s="32" t="s">
        <v>6</v>
      </c>
      <c r="L6" s="33"/>
      <c r="M6" s="4">
        <f t="shared" ref="M6:M11" si="0">(H6-C6)*0.7+C6</f>
        <v>227733.2189983289</v>
      </c>
      <c r="P6" s="120"/>
    </row>
    <row r="7" spans="1:30" x14ac:dyDescent="0.25">
      <c r="A7" s="30" t="s">
        <v>7</v>
      </c>
      <c r="B7" s="31"/>
      <c r="C7" s="6">
        <v>37.394369442897144</v>
      </c>
      <c r="F7" s="30" t="s">
        <v>7</v>
      </c>
      <c r="G7" s="31"/>
      <c r="H7" s="6">
        <v>74.34</v>
      </c>
      <c r="I7">
        <f>H6/H7</f>
        <v>3600.2017756255041</v>
      </c>
      <c r="K7" s="30" t="s">
        <v>7</v>
      </c>
      <c r="L7" s="31"/>
      <c r="M7" s="4">
        <f t="shared" si="0"/>
        <v>63.256310832869147</v>
      </c>
    </row>
    <row r="8" spans="1:30" x14ac:dyDescent="0.25">
      <c r="A8" s="32" t="s">
        <v>8</v>
      </c>
      <c r="B8" s="33"/>
      <c r="C8" s="5">
        <v>218.75</v>
      </c>
      <c r="F8" s="32" t="s">
        <v>8</v>
      </c>
      <c r="G8" s="33"/>
      <c r="H8" s="5">
        <v>218.75</v>
      </c>
      <c r="K8" s="32" t="s">
        <v>8</v>
      </c>
      <c r="L8" s="33"/>
      <c r="M8" s="4">
        <f t="shared" si="0"/>
        <v>218.75</v>
      </c>
    </row>
    <row r="9" spans="1:30" x14ac:dyDescent="0.25">
      <c r="A9" s="30" t="s">
        <v>9</v>
      </c>
      <c r="B9" s="31"/>
      <c r="C9" s="6">
        <v>6</v>
      </c>
      <c r="F9" s="30" t="s">
        <v>9</v>
      </c>
      <c r="G9" s="31"/>
      <c r="H9" s="6">
        <v>12</v>
      </c>
      <c r="K9" s="30" t="s">
        <v>9</v>
      </c>
      <c r="L9" s="31"/>
      <c r="M9" s="4">
        <f t="shared" si="0"/>
        <v>10.199999999999999</v>
      </c>
    </row>
    <row r="10" spans="1:30" x14ac:dyDescent="0.25">
      <c r="A10" s="42" t="s">
        <v>10</v>
      </c>
      <c r="B10" s="43"/>
      <c r="C10" s="7">
        <v>10906.691087511666</v>
      </c>
      <c r="F10" s="42" t="s">
        <v>10</v>
      </c>
      <c r="G10" s="43"/>
      <c r="H10" s="7">
        <v>21683.759999999998</v>
      </c>
      <c r="K10" s="42" t="s">
        <v>10</v>
      </c>
      <c r="L10" s="43"/>
      <c r="M10" s="4">
        <f t="shared" si="0"/>
        <v>18450.639326253498</v>
      </c>
    </row>
    <row r="11" spans="1:30" ht="15.75" thickBot="1" x14ac:dyDescent="0.3">
      <c r="A11" s="8" t="s">
        <v>12</v>
      </c>
      <c r="B11" s="8"/>
      <c r="C11" s="8">
        <f>C10*3000</f>
        <v>32720073.262534998</v>
      </c>
      <c r="F11" s="45" t="s">
        <v>11</v>
      </c>
      <c r="G11" s="46"/>
      <c r="H11" s="143">
        <f>H10*3000</f>
        <v>65051279.999999993</v>
      </c>
      <c r="K11" s="36" t="s">
        <v>13</v>
      </c>
      <c r="L11" s="37"/>
      <c r="M11" s="4">
        <f t="shared" si="0"/>
        <v>55351917.978760496</v>
      </c>
    </row>
    <row r="12" spans="1:30" x14ac:dyDescent="0.25">
      <c r="J12">
        <f>H11-M11</f>
        <v>9699362.0212394968</v>
      </c>
    </row>
    <row r="13" spans="1:30" s="10" customFormat="1" ht="15.75" thickBot="1" x14ac:dyDescent="0.3"/>
    <row r="14" spans="1:30" ht="19.5" thickBot="1" x14ac:dyDescent="0.35">
      <c r="C14" s="23" t="s">
        <v>14</v>
      </c>
      <c r="D14" s="24"/>
      <c r="E14" s="24"/>
      <c r="F14" s="24"/>
      <c r="G14" s="24"/>
      <c r="H14" s="24"/>
      <c r="I14" s="38"/>
    </row>
    <row r="15" spans="1:30" ht="15.75" thickBot="1" x14ac:dyDescent="0.3">
      <c r="A15" s="1"/>
    </row>
    <row r="16" spans="1:30" ht="21" x14ac:dyDescent="0.35">
      <c r="A16" s="25" t="s">
        <v>15</v>
      </c>
      <c r="B16" s="26"/>
      <c r="C16" s="27"/>
      <c r="F16" s="25" t="s">
        <v>16</v>
      </c>
      <c r="G16" s="26"/>
      <c r="H16" s="27"/>
      <c r="K16" s="39" t="s">
        <v>84</v>
      </c>
      <c r="L16" s="40"/>
      <c r="M16" s="41"/>
      <c r="P16" s="123" t="s">
        <v>89</v>
      </c>
      <c r="Q16" s="124"/>
      <c r="R16" s="124"/>
      <c r="S16" s="125">
        <f>M24</f>
        <v>106906062.48</v>
      </c>
      <c r="T16" s="125"/>
      <c r="U16" s="125"/>
      <c r="V16" s="126"/>
    </row>
    <row r="17" spans="1:22" ht="21" x14ac:dyDescent="0.35">
      <c r="A17" s="28" t="s">
        <v>3</v>
      </c>
      <c r="B17" s="29"/>
      <c r="C17" s="2">
        <v>6000</v>
      </c>
      <c r="F17" s="34" t="s">
        <v>92</v>
      </c>
      <c r="G17" s="35"/>
      <c r="H17" s="2">
        <v>6000</v>
      </c>
      <c r="K17" s="32" t="s">
        <v>5</v>
      </c>
      <c r="L17" s="33"/>
      <c r="M17" s="2">
        <v>6000</v>
      </c>
      <c r="P17" s="127" t="s">
        <v>90</v>
      </c>
      <c r="Q17" s="122"/>
      <c r="R17" s="122"/>
      <c r="S17" s="121">
        <f>C24</f>
        <v>65111541.600000001</v>
      </c>
      <c r="T17" s="121"/>
      <c r="U17" s="121"/>
      <c r="V17" s="128"/>
    </row>
    <row r="18" spans="1:22" ht="21.75" thickBot="1" x14ac:dyDescent="0.4">
      <c r="A18" s="34" t="s">
        <v>5</v>
      </c>
      <c r="B18" s="35"/>
      <c r="C18" s="4">
        <v>1608.748</v>
      </c>
      <c r="F18" s="34" t="s">
        <v>17</v>
      </c>
      <c r="G18" s="35"/>
      <c r="H18" s="4">
        <v>2608.7489</v>
      </c>
      <c r="K18" s="32" t="s">
        <v>17</v>
      </c>
      <c r="L18" s="33"/>
      <c r="M18" s="5">
        <v>2258.7485850000003</v>
      </c>
      <c r="P18" s="129" t="s">
        <v>88</v>
      </c>
      <c r="Q18" s="130"/>
      <c r="R18" s="130"/>
      <c r="S18" s="131">
        <f>S16-S17</f>
        <v>41794520.880000003</v>
      </c>
      <c r="T18" s="131"/>
      <c r="U18" s="131"/>
      <c r="V18" s="132"/>
    </row>
    <row r="19" spans="1:22" x14ac:dyDescent="0.25">
      <c r="A19" s="32" t="s">
        <v>6</v>
      </c>
      <c r="B19" s="33"/>
      <c r="C19" s="5">
        <v>267887.48499999999</v>
      </c>
      <c r="F19" s="32" t="s">
        <v>6</v>
      </c>
      <c r="G19" s="33"/>
      <c r="H19" s="5">
        <v>513539</v>
      </c>
      <c r="K19" s="32" t="s">
        <v>6</v>
      </c>
      <c r="L19" s="33"/>
      <c r="M19" s="5">
        <v>274387.48499999999</v>
      </c>
    </row>
    <row r="20" spans="1:22" x14ac:dyDescent="0.25">
      <c r="A20" s="30" t="s">
        <v>7</v>
      </c>
      <c r="B20" s="31"/>
      <c r="C20" s="6">
        <v>74.41319</v>
      </c>
      <c r="F20" s="30" t="s">
        <v>7</v>
      </c>
      <c r="G20" s="31"/>
      <c r="H20" s="6">
        <v>142.63999999999999</v>
      </c>
      <c r="K20" s="30" t="s">
        <v>7</v>
      </c>
      <c r="L20" s="31"/>
      <c r="M20" s="6">
        <v>76.218745699999999</v>
      </c>
    </row>
    <row r="21" spans="1:22" x14ac:dyDescent="0.25">
      <c r="A21" s="32" t="s">
        <v>8</v>
      </c>
      <c r="B21" s="33"/>
      <c r="C21" s="5">
        <v>218</v>
      </c>
      <c r="F21" s="32" t="s">
        <v>8</v>
      </c>
      <c r="G21" s="33"/>
      <c r="H21" s="5">
        <v>218</v>
      </c>
      <c r="K21" s="32" t="s">
        <v>8</v>
      </c>
      <c r="L21" s="33"/>
      <c r="M21" s="5">
        <v>218</v>
      </c>
    </row>
    <row r="22" spans="1:22" x14ac:dyDescent="0.25">
      <c r="A22" s="30" t="s">
        <v>9</v>
      </c>
      <c r="B22" s="31"/>
      <c r="C22" s="6">
        <v>11</v>
      </c>
      <c r="F22" s="30" t="s">
        <v>9</v>
      </c>
      <c r="G22" s="31"/>
      <c r="H22" s="6">
        <v>23</v>
      </c>
      <c r="K22" s="30" t="s">
        <v>9</v>
      </c>
      <c r="L22" s="31"/>
      <c r="M22" s="6">
        <v>12</v>
      </c>
    </row>
    <row r="23" spans="1:22" x14ac:dyDescent="0.25">
      <c r="A23" s="32" t="s">
        <v>10</v>
      </c>
      <c r="B23" s="33"/>
      <c r="C23" s="7">
        <v>21703.8472</v>
      </c>
      <c r="F23" s="42" t="s">
        <v>10</v>
      </c>
      <c r="G23" s="43"/>
      <c r="H23" s="7">
        <v>41606</v>
      </c>
      <c r="K23" s="32" t="s">
        <v>18</v>
      </c>
      <c r="L23" s="33"/>
      <c r="M23" s="11">
        <f>(H23-C23)*0.7+C23</f>
        <v>35635.354160000003</v>
      </c>
    </row>
    <row r="24" spans="1:22" ht="15.75" thickBot="1" x14ac:dyDescent="0.3">
      <c r="A24" s="12" t="s">
        <v>19</v>
      </c>
      <c r="B24" s="13"/>
      <c r="C24" s="9">
        <v>65111541.600000001</v>
      </c>
      <c r="F24" s="14" t="s">
        <v>20</v>
      </c>
      <c r="G24" s="15"/>
      <c r="H24" s="9">
        <f>H23*3000</f>
        <v>124818000</v>
      </c>
      <c r="K24" s="36" t="s">
        <v>11</v>
      </c>
      <c r="L24" s="37"/>
      <c r="M24" s="9">
        <f>M23*3000</f>
        <v>106906062.48</v>
      </c>
    </row>
    <row r="25" spans="1:22" x14ac:dyDescent="0.25">
      <c r="A25" s="1"/>
    </row>
    <row r="26" spans="1:22" x14ac:dyDescent="0.25">
      <c r="A26" s="1"/>
    </row>
    <row r="29" spans="1:22" s="10" customFormat="1" x14ac:dyDescent="0.25"/>
    <row r="31" spans="1:22" ht="15.75" thickBot="1" x14ac:dyDescent="0.3">
      <c r="A31" s="1"/>
    </row>
    <row r="32" spans="1:22" ht="19.5" thickBot="1" x14ac:dyDescent="0.35">
      <c r="A32" s="1"/>
      <c r="C32" s="23" t="s">
        <v>21</v>
      </c>
      <c r="D32" s="24"/>
      <c r="E32" s="24"/>
      <c r="F32" s="24"/>
      <c r="G32" s="24"/>
      <c r="H32" s="24"/>
      <c r="I32" s="38"/>
    </row>
    <row r="33" spans="1:23" x14ac:dyDescent="0.25">
      <c r="A33" s="1"/>
    </row>
    <row r="34" spans="1:23" ht="15.75" thickBot="1" x14ac:dyDescent="0.3">
      <c r="A34" s="1"/>
    </row>
    <row r="35" spans="1:23" ht="21" x14ac:dyDescent="0.35">
      <c r="A35" s="25" t="s">
        <v>22</v>
      </c>
      <c r="B35" s="26"/>
      <c r="C35" s="27"/>
      <c r="F35" s="39" t="s">
        <v>23</v>
      </c>
      <c r="G35" s="40"/>
      <c r="H35" s="41"/>
      <c r="K35" s="44" t="s">
        <v>84</v>
      </c>
      <c r="L35" s="44"/>
      <c r="M35" s="44"/>
      <c r="Q35" s="123" t="s">
        <v>89</v>
      </c>
      <c r="R35" s="124"/>
      <c r="S35" s="124"/>
      <c r="T35" s="125">
        <f>M43</f>
        <v>183237051</v>
      </c>
      <c r="U35" s="125"/>
      <c r="V35" s="125"/>
      <c r="W35" s="126"/>
    </row>
    <row r="36" spans="1:23" ht="21" x14ac:dyDescent="0.35">
      <c r="A36" s="28" t="s">
        <v>3</v>
      </c>
      <c r="B36" s="29"/>
      <c r="C36" s="2">
        <v>10500</v>
      </c>
      <c r="F36" s="28" t="s">
        <v>3</v>
      </c>
      <c r="G36" s="29"/>
      <c r="H36" s="2">
        <v>10500</v>
      </c>
      <c r="K36" s="29" t="s">
        <v>3</v>
      </c>
      <c r="L36" s="29"/>
      <c r="M36" s="16">
        <v>10500</v>
      </c>
      <c r="Q36" s="127" t="s">
        <v>90</v>
      </c>
      <c r="R36" s="122"/>
      <c r="S36" s="122"/>
      <c r="T36" s="121">
        <f>C43</f>
        <v>110360940.00000001</v>
      </c>
      <c r="U36" s="121"/>
      <c r="V36" s="121"/>
      <c r="W36" s="128"/>
    </row>
    <row r="37" spans="1:23" ht="21.75" thickBot="1" x14ac:dyDescent="0.4">
      <c r="A37" s="34" t="s">
        <v>5</v>
      </c>
      <c r="B37" s="35"/>
      <c r="C37" s="4">
        <v>1340.623</v>
      </c>
      <c r="F37" s="32" t="s">
        <v>17</v>
      </c>
      <c r="G37" s="33"/>
      <c r="H37" s="5">
        <v>2173.9</v>
      </c>
      <c r="K37" s="33" t="s">
        <v>17</v>
      </c>
      <c r="L37" s="33"/>
      <c r="M37" s="8">
        <f>(H37-C37)*0.6+C37</f>
        <v>1840.5892000000001</v>
      </c>
      <c r="Q37" s="129" t="s">
        <v>88</v>
      </c>
      <c r="R37" s="130"/>
      <c r="S37" s="130"/>
      <c r="T37" s="131">
        <f>T35-T36</f>
        <v>72876110.999999985</v>
      </c>
      <c r="U37" s="131"/>
      <c r="V37" s="131"/>
      <c r="W37" s="132"/>
    </row>
    <row r="38" spans="1:23" x14ac:dyDescent="0.25">
      <c r="A38" s="32" t="s">
        <v>6</v>
      </c>
      <c r="B38" s="33"/>
      <c r="C38" s="5">
        <v>454056.23</v>
      </c>
      <c r="F38" s="32" t="s">
        <v>6</v>
      </c>
      <c r="G38" s="33"/>
      <c r="H38" s="5">
        <v>882389.5</v>
      </c>
      <c r="I38">
        <v>210000</v>
      </c>
      <c r="K38" s="33" t="s">
        <v>6</v>
      </c>
      <c r="L38" s="33"/>
      <c r="M38" s="8">
        <f t="shared" ref="M38:M42" si="1">(H38-C38)*0.6+C38</f>
        <v>711056.19200000004</v>
      </c>
    </row>
    <row r="39" spans="1:23" x14ac:dyDescent="0.25">
      <c r="A39" s="30" t="s">
        <v>7</v>
      </c>
      <c r="B39" s="31"/>
      <c r="C39" s="6">
        <v>126.8715</v>
      </c>
      <c r="F39" s="30" t="s">
        <v>7</v>
      </c>
      <c r="G39" s="31"/>
      <c r="H39" s="6">
        <v>245.1</v>
      </c>
      <c r="K39" s="31" t="s">
        <v>7</v>
      </c>
      <c r="L39" s="31"/>
      <c r="M39" s="17">
        <f t="shared" si="1"/>
        <v>197.80860000000001</v>
      </c>
    </row>
    <row r="40" spans="1:23" x14ac:dyDescent="0.25">
      <c r="A40" s="32" t="s">
        <v>8</v>
      </c>
      <c r="B40" s="33"/>
      <c r="C40" s="5">
        <v>218</v>
      </c>
      <c r="F40" s="32" t="s">
        <v>8</v>
      </c>
      <c r="G40" s="33"/>
      <c r="H40" s="5">
        <v>218</v>
      </c>
      <c r="K40" s="33" t="s">
        <v>8</v>
      </c>
      <c r="L40" s="33"/>
      <c r="M40" s="8">
        <f t="shared" si="1"/>
        <v>218</v>
      </c>
    </row>
    <row r="41" spans="1:23" x14ac:dyDescent="0.25">
      <c r="A41" s="30" t="s">
        <v>9</v>
      </c>
      <c r="B41" s="31"/>
      <c r="C41" s="6">
        <v>21</v>
      </c>
      <c r="F41" s="30" t="s">
        <v>9</v>
      </c>
      <c r="G41" s="31"/>
      <c r="H41" s="6">
        <v>40</v>
      </c>
      <c r="K41" s="31" t="s">
        <v>9</v>
      </c>
      <c r="L41" s="31"/>
      <c r="M41" s="17">
        <f t="shared" si="1"/>
        <v>32.4</v>
      </c>
    </row>
    <row r="42" spans="1:23" ht="15.75" customHeight="1" thickBot="1" x14ac:dyDescent="0.3">
      <c r="A42" s="32" t="s">
        <v>10</v>
      </c>
      <c r="B42" s="33"/>
      <c r="C42" s="18">
        <v>36786.980000000003</v>
      </c>
      <c r="F42" s="32" t="s">
        <v>10</v>
      </c>
      <c r="G42" s="33"/>
      <c r="H42" s="11">
        <v>71489.89</v>
      </c>
      <c r="K42" s="33" t="s">
        <v>10</v>
      </c>
      <c r="L42" s="33"/>
      <c r="M42" s="119">
        <f>(H42-C42)*0.7+C42</f>
        <v>61079.017</v>
      </c>
    </row>
    <row r="43" spans="1:23" ht="15.75" customHeight="1" thickBot="1" x14ac:dyDescent="0.3">
      <c r="A43" s="45" t="s">
        <v>19</v>
      </c>
      <c r="B43" s="46"/>
      <c r="C43" s="19">
        <f>C42*3000</f>
        <v>110360940.00000001</v>
      </c>
      <c r="F43" s="47" t="s">
        <v>11</v>
      </c>
      <c r="G43" s="48"/>
      <c r="H43" s="9">
        <f>H42*3000</f>
        <v>214469670</v>
      </c>
      <c r="K43" s="49" t="s">
        <v>11</v>
      </c>
      <c r="L43" s="50"/>
      <c r="M43" s="8">
        <f>M42*3000</f>
        <v>183237051</v>
      </c>
    </row>
    <row r="44" spans="1:23" ht="15" customHeight="1" x14ac:dyDescent="0.25">
      <c r="A44" s="1"/>
    </row>
    <row r="45" spans="1:23" x14ac:dyDescent="0.25">
      <c r="A45" s="1"/>
    </row>
    <row r="46" spans="1:23" s="10" customFormat="1" x14ac:dyDescent="0.25"/>
    <row r="49" spans="1:23" ht="15.75" thickBot="1" x14ac:dyDescent="0.3">
      <c r="A49" s="1"/>
      <c r="K49">
        <f>62950/3600</f>
        <v>17.486111111111111</v>
      </c>
    </row>
    <row r="50" spans="1:23" ht="19.5" thickBot="1" x14ac:dyDescent="0.35">
      <c r="A50" s="1"/>
      <c r="C50" s="23" t="s">
        <v>24</v>
      </c>
      <c r="D50" s="24"/>
      <c r="E50" s="24"/>
      <c r="F50" s="24"/>
      <c r="G50" s="24"/>
      <c r="H50" s="24"/>
      <c r="I50" s="38"/>
    </row>
    <row r="51" spans="1:23" x14ac:dyDescent="0.25">
      <c r="A51" s="1"/>
    </row>
    <row r="52" spans="1:23" ht="15.75" thickBot="1" x14ac:dyDescent="0.3">
      <c r="A52" s="1"/>
    </row>
    <row r="53" spans="1:23" ht="21" x14ac:dyDescent="0.35">
      <c r="A53" s="25" t="s">
        <v>25</v>
      </c>
      <c r="B53" s="26"/>
      <c r="C53" s="27"/>
      <c r="F53" s="25" t="s">
        <v>26</v>
      </c>
      <c r="G53" s="26"/>
      <c r="H53" s="27"/>
      <c r="K53" s="25" t="s">
        <v>86</v>
      </c>
      <c r="L53" s="26"/>
      <c r="M53" s="27"/>
      <c r="Q53" s="123" t="s">
        <v>89</v>
      </c>
      <c r="R53" s="124"/>
      <c r="S53" s="124"/>
      <c r="T53" s="125">
        <f>M61</f>
        <v>29516175</v>
      </c>
      <c r="U53" s="125"/>
      <c r="V53" s="125"/>
      <c r="W53" s="126"/>
    </row>
    <row r="54" spans="1:23" ht="21" x14ac:dyDescent="0.35">
      <c r="A54" s="28" t="s">
        <v>3</v>
      </c>
      <c r="B54" s="29"/>
      <c r="C54" s="2">
        <v>1500</v>
      </c>
      <c r="F54" s="28" t="s">
        <v>3</v>
      </c>
      <c r="G54" s="29"/>
      <c r="H54" s="2">
        <v>1500</v>
      </c>
      <c r="K54" s="52" t="s">
        <v>3</v>
      </c>
      <c r="L54" s="53"/>
      <c r="M54" s="2">
        <v>1500</v>
      </c>
      <c r="Q54" s="127" t="s">
        <v>90</v>
      </c>
      <c r="R54" s="122"/>
      <c r="S54" s="122"/>
      <c r="T54" s="121">
        <f>C61</f>
        <v>16329540</v>
      </c>
      <c r="U54" s="121"/>
      <c r="V54" s="121"/>
      <c r="W54" s="128"/>
    </row>
    <row r="55" spans="1:23" ht="21.75" thickBot="1" x14ac:dyDescent="0.4">
      <c r="A55" s="34" t="s">
        <v>5</v>
      </c>
      <c r="B55" s="35"/>
      <c r="C55" s="4">
        <v>423</v>
      </c>
      <c r="D55" t="s">
        <v>27</v>
      </c>
      <c r="F55" s="34" t="s">
        <v>5</v>
      </c>
      <c r="G55" s="35"/>
      <c r="H55" s="4">
        <v>2173.9499999999998</v>
      </c>
      <c r="K55" s="34" t="s">
        <v>5</v>
      </c>
      <c r="L55" s="35"/>
      <c r="M55" s="4">
        <f>(H55-C55)*0.65+C55</f>
        <v>1561.1174999999998</v>
      </c>
      <c r="Q55" s="129" t="s">
        <v>88</v>
      </c>
      <c r="R55" s="130"/>
      <c r="S55" s="130"/>
      <c r="T55" s="131">
        <f>T53-T54</f>
        <v>13186635</v>
      </c>
      <c r="U55" s="131"/>
      <c r="V55" s="131"/>
      <c r="W55" s="132"/>
    </row>
    <row r="56" spans="1:23" x14ac:dyDescent="0.25">
      <c r="A56" s="32" t="s">
        <v>6</v>
      </c>
      <c r="B56" s="33"/>
      <c r="C56" s="5">
        <v>67184</v>
      </c>
      <c r="F56" s="32" t="s">
        <v>6</v>
      </c>
      <c r="G56" s="33"/>
      <c r="H56" s="5">
        <v>144689.57</v>
      </c>
      <c r="K56" s="51" t="s">
        <v>6</v>
      </c>
      <c r="L56" s="50"/>
      <c r="M56" s="4">
        <f t="shared" ref="M56:M57" si="2">(H56-C56)*0.65+C56</f>
        <v>117562.6205</v>
      </c>
    </row>
    <row r="57" spans="1:23" x14ac:dyDescent="0.25">
      <c r="A57" s="30" t="s">
        <v>7</v>
      </c>
      <c r="B57" s="31"/>
      <c r="C57" s="6">
        <v>18.66</v>
      </c>
      <c r="F57" s="30" t="s">
        <v>7</v>
      </c>
      <c r="G57" s="31"/>
      <c r="H57" s="6">
        <v>40.19</v>
      </c>
      <c r="K57" s="56" t="s">
        <v>7</v>
      </c>
      <c r="L57" s="57"/>
      <c r="M57" s="4">
        <f t="shared" si="2"/>
        <v>32.654499999999999</v>
      </c>
    </row>
    <row r="58" spans="1:23" x14ac:dyDescent="0.25">
      <c r="A58" s="32" t="s">
        <v>8</v>
      </c>
      <c r="B58" s="33"/>
      <c r="C58" s="5">
        <v>218</v>
      </c>
      <c r="F58" s="32" t="s">
        <v>8</v>
      </c>
      <c r="G58" s="33"/>
      <c r="H58" s="5">
        <v>218</v>
      </c>
      <c r="K58" s="51" t="s">
        <v>8</v>
      </c>
      <c r="L58" s="50"/>
      <c r="M58" s="4">
        <f>(H58-C58)*0.65+C58</f>
        <v>218</v>
      </c>
    </row>
    <row r="59" spans="1:23" x14ac:dyDescent="0.25">
      <c r="A59" s="30" t="s">
        <v>9</v>
      </c>
      <c r="B59" s="31"/>
      <c r="C59" s="6">
        <v>3</v>
      </c>
      <c r="F59" s="30" t="s">
        <v>9</v>
      </c>
      <c r="G59" s="31"/>
      <c r="H59" s="6">
        <v>6.6</v>
      </c>
      <c r="K59" s="56" t="s">
        <v>9</v>
      </c>
      <c r="L59" s="57"/>
      <c r="M59" s="4">
        <v>4</v>
      </c>
    </row>
    <row r="60" spans="1:23" ht="15.75" thickBot="1" x14ac:dyDescent="0.3">
      <c r="A60" s="32" t="s">
        <v>10</v>
      </c>
      <c r="B60" s="33"/>
      <c r="C60" s="20">
        <v>5443.18</v>
      </c>
      <c r="F60" s="42" t="s">
        <v>10</v>
      </c>
      <c r="G60" s="43"/>
      <c r="H60" s="7">
        <v>11722.53</v>
      </c>
      <c r="K60" s="32" t="s">
        <v>10</v>
      </c>
      <c r="L60" s="33"/>
      <c r="M60" s="4">
        <f>(H60-C60)*0.7+C60</f>
        <v>9838.7250000000004</v>
      </c>
    </row>
    <row r="61" spans="1:23" ht="15.75" thickBot="1" x14ac:dyDescent="0.3">
      <c r="A61" s="54" t="s">
        <v>19</v>
      </c>
      <c r="B61" s="55"/>
      <c r="C61" s="19">
        <f>C60*3000</f>
        <v>16329540</v>
      </c>
      <c r="F61" s="47" t="s">
        <v>11</v>
      </c>
      <c r="G61" s="48"/>
      <c r="H61" s="9">
        <f>H60*3000</f>
        <v>35167590</v>
      </c>
      <c r="K61" s="21" t="s">
        <v>87</v>
      </c>
      <c r="L61" s="13"/>
      <c r="M61" s="22">
        <f>M60*3000</f>
        <v>29516175</v>
      </c>
    </row>
    <row r="63" spans="1:23" x14ac:dyDescent="0.25">
      <c r="K63">
        <f>M61-C61</f>
        <v>13186635</v>
      </c>
    </row>
    <row r="67" spans="1:23" s="10" customFormat="1" x14ac:dyDescent="0.25"/>
    <row r="71" spans="1:23" ht="15.75" thickBot="1" x14ac:dyDescent="0.3">
      <c r="A71" s="1"/>
      <c r="K71">
        <f>62950/3600</f>
        <v>17.486111111111111</v>
      </c>
    </row>
    <row r="72" spans="1:23" ht="19.5" thickBot="1" x14ac:dyDescent="0.35">
      <c r="A72" s="1"/>
      <c r="C72" s="23" t="s">
        <v>83</v>
      </c>
      <c r="D72" s="24"/>
      <c r="E72" s="24"/>
      <c r="F72" s="24"/>
      <c r="G72" s="24"/>
      <c r="H72" s="24"/>
      <c r="I72" s="38"/>
    </row>
    <row r="73" spans="1:23" x14ac:dyDescent="0.25">
      <c r="A73" s="1"/>
    </row>
    <row r="74" spans="1:23" ht="15.75" thickBot="1" x14ac:dyDescent="0.3">
      <c r="A74" s="1"/>
    </row>
    <row r="75" spans="1:23" ht="21" x14ac:dyDescent="0.35">
      <c r="A75" s="25" t="s">
        <v>28</v>
      </c>
      <c r="B75" s="26"/>
      <c r="C75" s="27"/>
      <c r="F75" s="25" t="s">
        <v>29</v>
      </c>
      <c r="G75" s="26"/>
      <c r="H75" s="27"/>
      <c r="K75" s="25" t="s">
        <v>86</v>
      </c>
      <c r="L75" s="26"/>
      <c r="M75" s="27"/>
      <c r="Q75" s="123" t="s">
        <v>89</v>
      </c>
      <c r="R75" s="124"/>
      <c r="S75" s="124"/>
      <c r="T75" s="125">
        <f>M83</f>
        <v>15798356.42835</v>
      </c>
      <c r="U75" s="125"/>
      <c r="V75" s="125"/>
      <c r="W75" s="126"/>
    </row>
    <row r="76" spans="1:23" ht="21" x14ac:dyDescent="0.35">
      <c r="A76" s="28" t="s">
        <v>3</v>
      </c>
      <c r="B76" s="29"/>
      <c r="C76" s="2">
        <v>600</v>
      </c>
      <c r="F76" s="28" t="s">
        <v>3</v>
      </c>
      <c r="G76" s="29"/>
      <c r="H76" s="2">
        <v>600</v>
      </c>
      <c r="K76" s="52" t="s">
        <v>3</v>
      </c>
      <c r="L76" s="53"/>
      <c r="M76" s="2">
        <v>600</v>
      </c>
      <c r="Q76" s="127" t="s">
        <v>90</v>
      </c>
      <c r="R76" s="122"/>
      <c r="S76" s="122"/>
      <c r="T76" s="121">
        <f>C83</f>
        <v>6910230</v>
      </c>
      <c r="U76" s="121"/>
      <c r="V76" s="121"/>
      <c r="W76" s="128"/>
    </row>
    <row r="77" spans="1:23" ht="21.75" thickBot="1" x14ac:dyDescent="0.4">
      <c r="A77" s="34" t="s">
        <v>5</v>
      </c>
      <c r="B77" s="35"/>
      <c r="C77" s="4">
        <v>325</v>
      </c>
      <c r="D77" t="s">
        <v>27</v>
      </c>
      <c r="F77" s="34" t="s">
        <v>5</v>
      </c>
      <c r="G77" s="35"/>
      <c r="H77" s="4">
        <v>2173.9499999999998</v>
      </c>
      <c r="K77" s="34" t="s">
        <v>5</v>
      </c>
      <c r="L77" s="35"/>
      <c r="M77" s="4">
        <f>(H77-C77)*0.55+C77</f>
        <v>1341.9225000000001</v>
      </c>
      <c r="Q77" s="129" t="s">
        <v>88</v>
      </c>
      <c r="R77" s="130"/>
      <c r="S77" s="130"/>
      <c r="T77" s="131">
        <f>T75-T76</f>
        <v>8888126.4283499997</v>
      </c>
      <c r="U77" s="131"/>
      <c r="V77" s="131"/>
      <c r="W77" s="132"/>
    </row>
    <row r="78" spans="1:23" x14ac:dyDescent="0.25">
      <c r="A78" s="32" t="s">
        <v>6</v>
      </c>
      <c r="B78" s="33"/>
      <c r="C78" s="5">
        <v>28430.7</v>
      </c>
      <c r="F78" s="32" t="s">
        <v>6</v>
      </c>
      <c r="G78" s="33"/>
      <c r="H78" s="5">
        <v>70919.57071</v>
      </c>
      <c r="K78" s="51" t="s">
        <v>6</v>
      </c>
      <c r="L78" s="50"/>
      <c r="M78" s="4">
        <f t="shared" ref="M78:M83" si="3">(H78-C78)*0.55+C78</f>
        <v>51799.578890500008</v>
      </c>
    </row>
    <row r="79" spans="1:23" x14ac:dyDescent="0.25">
      <c r="A79" s="30" t="s">
        <v>7</v>
      </c>
      <c r="B79" s="31"/>
      <c r="C79" s="6">
        <v>7.8970000000000002</v>
      </c>
      <c r="F79" s="30" t="s">
        <v>7</v>
      </c>
      <c r="G79" s="31"/>
      <c r="H79" s="6">
        <v>19.690000000000001</v>
      </c>
      <c r="K79" s="56" t="s">
        <v>7</v>
      </c>
      <c r="L79" s="57"/>
      <c r="M79" s="4">
        <f t="shared" si="3"/>
        <v>14.383150000000001</v>
      </c>
    </row>
    <row r="80" spans="1:23" x14ac:dyDescent="0.25">
      <c r="A80" s="32" t="s">
        <v>8</v>
      </c>
      <c r="B80" s="33"/>
      <c r="C80" s="5">
        <v>218</v>
      </c>
      <c r="F80" s="32" t="s">
        <v>8</v>
      </c>
      <c r="G80" s="33"/>
      <c r="H80" s="5">
        <v>218</v>
      </c>
      <c r="K80" s="51" t="s">
        <v>8</v>
      </c>
      <c r="L80" s="50"/>
      <c r="M80" s="4">
        <f t="shared" si="3"/>
        <v>218</v>
      </c>
    </row>
    <row r="81" spans="1:13" x14ac:dyDescent="0.25">
      <c r="A81" s="30" t="s">
        <v>9</v>
      </c>
      <c r="B81" s="31"/>
      <c r="C81" s="6">
        <v>2</v>
      </c>
      <c r="F81" s="30" t="s">
        <v>9</v>
      </c>
      <c r="G81" s="31"/>
      <c r="H81" s="6">
        <v>4</v>
      </c>
      <c r="K81" s="56" t="s">
        <v>9</v>
      </c>
      <c r="L81" s="57"/>
      <c r="M81" s="4">
        <f t="shared" si="3"/>
        <v>3.1</v>
      </c>
    </row>
    <row r="82" spans="1:13" ht="15.75" thickBot="1" x14ac:dyDescent="0.3">
      <c r="A82" s="32" t="s">
        <v>10</v>
      </c>
      <c r="B82" s="33"/>
      <c r="C82" s="20">
        <v>2303.41</v>
      </c>
      <c r="F82" s="42" t="s">
        <v>10</v>
      </c>
      <c r="G82" s="43"/>
      <c r="H82" s="7">
        <v>6861.4235529999996</v>
      </c>
      <c r="K82" s="32" t="s">
        <v>10</v>
      </c>
      <c r="L82" s="33"/>
      <c r="M82" s="4">
        <f>(H82-C82)*0.65+C82</f>
        <v>5266.1188094499994</v>
      </c>
    </row>
    <row r="83" spans="1:13" ht="15.75" thickBot="1" x14ac:dyDescent="0.3">
      <c r="A83" s="54" t="s">
        <v>19</v>
      </c>
      <c r="B83" s="55"/>
      <c r="C83" s="19">
        <f>C82*3000</f>
        <v>6910230</v>
      </c>
      <c r="F83" s="47" t="s">
        <v>11</v>
      </c>
      <c r="G83" s="48"/>
      <c r="H83" s="9">
        <f>H82*3000</f>
        <v>20584270.658999998</v>
      </c>
      <c r="K83" s="21" t="s">
        <v>87</v>
      </c>
      <c r="L83" s="13"/>
      <c r="M83" s="4">
        <f>(H83-C83)*0.65+C83</f>
        <v>15798356.42835</v>
      </c>
    </row>
    <row r="87" spans="1:13" x14ac:dyDescent="0.25">
      <c r="J87">
        <f>M83-C83</f>
        <v>8888126.4283499997</v>
      </c>
    </row>
  </sheetData>
  <mergeCells count="175">
    <mergeCell ref="X1:Z1"/>
    <mergeCell ref="AA1:AD1"/>
    <mergeCell ref="X2:Z2"/>
    <mergeCell ref="AA2:AD2"/>
    <mergeCell ref="X3:Z3"/>
    <mergeCell ref="AA3:AD3"/>
    <mergeCell ref="X4:Z4"/>
    <mergeCell ref="AA4:AD4"/>
    <mergeCell ref="P4:R4"/>
    <mergeCell ref="S4:V4"/>
    <mergeCell ref="T54:W54"/>
    <mergeCell ref="Q55:S55"/>
    <mergeCell ref="T55:W55"/>
    <mergeCell ref="Q75:S75"/>
    <mergeCell ref="T75:W75"/>
    <mergeCell ref="Q76:S76"/>
    <mergeCell ref="T76:W76"/>
    <mergeCell ref="Q77:S77"/>
    <mergeCell ref="T77:W77"/>
    <mergeCell ref="S18:V18"/>
    <mergeCell ref="Q35:S35"/>
    <mergeCell ref="T35:W35"/>
    <mergeCell ref="Q36:S36"/>
    <mergeCell ref="T36:W36"/>
    <mergeCell ref="Q37:S37"/>
    <mergeCell ref="T37:W37"/>
    <mergeCell ref="Q53:S53"/>
    <mergeCell ref="T53:W53"/>
    <mergeCell ref="S3:V3"/>
    <mergeCell ref="P1:R1"/>
    <mergeCell ref="P2:R2"/>
    <mergeCell ref="S1:V1"/>
    <mergeCell ref="S2:V2"/>
    <mergeCell ref="P16:R16"/>
    <mergeCell ref="S16:V16"/>
    <mergeCell ref="P17:R17"/>
    <mergeCell ref="S17:V17"/>
    <mergeCell ref="A81:B81"/>
    <mergeCell ref="F81:G81"/>
    <mergeCell ref="K81:L81"/>
    <mergeCell ref="A82:B82"/>
    <mergeCell ref="F82:G82"/>
    <mergeCell ref="K82:L82"/>
    <mergeCell ref="A83:B83"/>
    <mergeCell ref="F83:G83"/>
    <mergeCell ref="P3:R3"/>
    <mergeCell ref="P18:R18"/>
    <mergeCell ref="Q54:S54"/>
    <mergeCell ref="A78:B78"/>
    <mergeCell ref="F78:G78"/>
    <mergeCell ref="K78:L78"/>
    <mergeCell ref="A79:B79"/>
    <mergeCell ref="F79:G79"/>
    <mergeCell ref="K79:L79"/>
    <mergeCell ref="A80:B80"/>
    <mergeCell ref="F80:G80"/>
    <mergeCell ref="K80:L80"/>
    <mergeCell ref="C72:I72"/>
    <mergeCell ref="A75:C75"/>
    <mergeCell ref="F75:H75"/>
    <mergeCell ref="K75:M75"/>
    <mergeCell ref="A76:B76"/>
    <mergeCell ref="F76:G76"/>
    <mergeCell ref="K76:L76"/>
    <mergeCell ref="A77:B77"/>
    <mergeCell ref="F77:G77"/>
    <mergeCell ref="K77:L77"/>
    <mergeCell ref="A61:B61"/>
    <mergeCell ref="F61:G61"/>
    <mergeCell ref="A59:B59"/>
    <mergeCell ref="F59:G59"/>
    <mergeCell ref="K59:L59"/>
    <mergeCell ref="A60:B60"/>
    <mergeCell ref="F60:G60"/>
    <mergeCell ref="K60:L60"/>
    <mergeCell ref="A57:B57"/>
    <mergeCell ref="F57:G57"/>
    <mergeCell ref="K57:L57"/>
    <mergeCell ref="A58:B58"/>
    <mergeCell ref="F58:G58"/>
    <mergeCell ref="K58:L58"/>
    <mergeCell ref="A55:B55"/>
    <mergeCell ref="F55:G55"/>
    <mergeCell ref="K55:L55"/>
    <mergeCell ref="A56:B56"/>
    <mergeCell ref="F56:G56"/>
    <mergeCell ref="K56:L56"/>
    <mergeCell ref="C50:I50"/>
    <mergeCell ref="A53:C53"/>
    <mergeCell ref="F53:H53"/>
    <mergeCell ref="K53:M53"/>
    <mergeCell ref="A54:B54"/>
    <mergeCell ref="F54:G54"/>
    <mergeCell ref="K54:L54"/>
    <mergeCell ref="A42:B42"/>
    <mergeCell ref="F42:G42"/>
    <mergeCell ref="K42:L42"/>
    <mergeCell ref="A43:B43"/>
    <mergeCell ref="F43:G43"/>
    <mergeCell ref="K43:L43"/>
    <mergeCell ref="A40:B40"/>
    <mergeCell ref="F40:G40"/>
    <mergeCell ref="K40:L40"/>
    <mergeCell ref="A41:B41"/>
    <mergeCell ref="F41:G41"/>
    <mergeCell ref="K41:L41"/>
    <mergeCell ref="A38:B38"/>
    <mergeCell ref="F38:G38"/>
    <mergeCell ref="K38:L38"/>
    <mergeCell ref="A39:B39"/>
    <mergeCell ref="F39:G39"/>
    <mergeCell ref="K39:L39"/>
    <mergeCell ref="A36:B36"/>
    <mergeCell ref="F36:G36"/>
    <mergeCell ref="K36:L36"/>
    <mergeCell ref="A37:B37"/>
    <mergeCell ref="F37:G37"/>
    <mergeCell ref="K37:L37"/>
    <mergeCell ref="A23:B23"/>
    <mergeCell ref="F23:G23"/>
    <mergeCell ref="K23:L23"/>
    <mergeCell ref="K24:L24"/>
    <mergeCell ref="C32:I32"/>
    <mergeCell ref="A35:C35"/>
    <mergeCell ref="F35:H35"/>
    <mergeCell ref="K35:M35"/>
    <mergeCell ref="A21:B21"/>
    <mergeCell ref="F21:G21"/>
    <mergeCell ref="K21:L21"/>
    <mergeCell ref="A22:B22"/>
    <mergeCell ref="F22:G22"/>
    <mergeCell ref="K22:L22"/>
    <mergeCell ref="A19:B19"/>
    <mergeCell ref="F19:G19"/>
    <mergeCell ref="K19:L19"/>
    <mergeCell ref="A20:B20"/>
    <mergeCell ref="F20:G20"/>
    <mergeCell ref="K20:L20"/>
    <mergeCell ref="A17:B17"/>
    <mergeCell ref="F17:G17"/>
    <mergeCell ref="K17:L17"/>
    <mergeCell ref="A18:B18"/>
    <mergeCell ref="F18:G18"/>
    <mergeCell ref="K18:L18"/>
    <mergeCell ref="F11:G11"/>
    <mergeCell ref="K11:L11"/>
    <mergeCell ref="C14:I14"/>
    <mergeCell ref="A16:C16"/>
    <mergeCell ref="F16:H16"/>
    <mergeCell ref="K16:M16"/>
    <mergeCell ref="F9:G9"/>
    <mergeCell ref="A9:B9"/>
    <mergeCell ref="K9:L9"/>
    <mergeCell ref="F10:G10"/>
    <mergeCell ref="A10:B10"/>
    <mergeCell ref="K10:L10"/>
    <mergeCell ref="F8:G8"/>
    <mergeCell ref="A8:B8"/>
    <mergeCell ref="K8:L8"/>
    <mergeCell ref="F5:G5"/>
    <mergeCell ref="A5:B5"/>
    <mergeCell ref="K5:L5"/>
    <mergeCell ref="F6:G6"/>
    <mergeCell ref="A6:B6"/>
    <mergeCell ref="K6:L6"/>
    <mergeCell ref="C1:H1"/>
    <mergeCell ref="F3:H3"/>
    <mergeCell ref="A3:C3"/>
    <mergeCell ref="K3:M3"/>
    <mergeCell ref="F4:G4"/>
    <mergeCell ref="A4:B4"/>
    <mergeCell ref="K4:L4"/>
    <mergeCell ref="F7:G7"/>
    <mergeCell ref="A7:B7"/>
    <mergeCell ref="K7:L7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Testing (Final)</vt:lpstr>
      <vt:lpstr>Data Analysis (Comparison)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Danish ali</dc:creator>
  <cp:keywords/>
  <dc:description/>
  <cp:lastModifiedBy>Danish ali</cp:lastModifiedBy>
  <cp:revision/>
  <dcterms:created xsi:type="dcterms:W3CDTF">2023-04-16T07:34:44Z</dcterms:created>
  <dcterms:modified xsi:type="dcterms:W3CDTF">2023-04-18T15:52:16Z</dcterms:modified>
  <cp:category/>
  <cp:contentStatus/>
</cp:coreProperties>
</file>